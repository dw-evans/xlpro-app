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C:\Users\Daniel Evans\projects\xlpro\xlpro_examples\"/>
    </mc:Choice>
  </mc:AlternateContent>
  <xr:revisionPtr revIDLastSave="0" documentId="13_ncr:1_{F03A3C7B-DEE1-481A-B7F0-204227668010}" xr6:coauthVersionLast="47" xr6:coauthVersionMax="47" xr10:uidLastSave="{00000000-0000-0000-0000-000000000000}"/>
  <bookViews>
    <workbookView xWindow="19200" yWindow="0" windowWidth="19200" windowHeight="21000" firstSheet="1" activeTab="1" xr2:uid="{9820760F-013A-4B91-BA7A-AE3713C2F2FE}"/>
  </bookViews>
  <sheets>
    <sheet name="index" sheetId="2" state="hidden" r:id="rId1"/>
    <sheet name="ex1" sheetId="1" r:id="rId2"/>
  </sheets>
  <definedNames>
    <definedName name="args_condense">"iterable_val"</definedName>
    <definedName name="args_cpy">"val"</definedName>
    <definedName name="args_deepcpy">"val"</definedName>
    <definedName name="args_get_stock_prices">{"ticker";"days";"interval"}</definedName>
    <definedName name="args_mpl_add_legend">{"ax";"handles";"labels";"loc";"frameon";"ncol"}</definedName>
    <definedName name="args_mpl_add_line_unique">{"ax";"x";"y";"tag";"fmt";"color";"linewidth";"markersize"}</definedName>
    <definedName name="args_mpl_create_figure_with_seed">"seed"</definedName>
    <definedName name="args_mpl_get_axes_of_fig">"fig"</definedName>
    <definedName name="args_mpl_set_ax_title">{"ax";"title"}</definedName>
    <definedName name="args_mpl_set_fig_suptitle">{"fig";"suptitle"}</definedName>
    <definedName name="args_mpl_set_xax_name">{"ax";"name"}</definedName>
    <definedName name="args_mpl_set_xlims">{"ax";"xlims";"seed"}</definedName>
    <definedName name="args_mpl_set_yax_name">{"ax";"name"}</definedName>
    <definedName name="args_mpl_set_ylims">{"ax";"ylims";"seed"}</definedName>
    <definedName name="args_np_linspace">{"start";"stop";"num";"endpoint";"retstep";"axis";"dtype";"device"}</definedName>
    <definedName name="args_pallette">""</definedName>
    <definedName name="args_pyadd">{"val";"rhs"}</definedName>
    <definedName name="args_pydiv">{"val";"rhs"}</definedName>
    <definedName name="args_pyeq">{"val";"rhs"}</definedName>
    <definedName name="args_pyge">{"val";"rhs"}</definedName>
    <definedName name="args_pygetattr">{"obj";"attrname";"default"}</definedName>
    <definedName name="args_pygetitem">{"obj";"val"}</definedName>
    <definedName name="args_pygt">{"val";"rhs"}</definedName>
    <definedName name="args_pyhash">"vals"</definedName>
    <definedName name="args_pyle">{"val";"rhs"}</definedName>
    <definedName name="args_pylen">"val"</definedName>
    <definedName name="args_pylt">{"val";"rhs"}</definedName>
    <definedName name="args_pymod">{"val";"rhs"}</definedName>
    <definedName name="args_pymul">{"val";"rhs"}</definedName>
    <definedName name="args_pyne">{"val";"rhs"}</definedName>
    <definedName name="args_pynot">"val"</definedName>
    <definedName name="args_pypow">{"val";"exp"}</definedName>
    <definedName name="args_pyrepr">"val"</definedName>
    <definedName name="args_pyshape">"val"</definedName>
    <definedName name="args_pystr">"val"</definedName>
    <definedName name="args_pysub">{"val";"rhs"}</definedName>
    <definedName name="args_pytype">"val"</definedName>
    <definedName name="args_show">"val"</definedName>
    <definedName name="args_show_image">{"val";"name";"seed"}</definedName>
    <definedName name="args_visualise_color">"rgb"</definedName>
    <definedName name="fname_condense">"condense"</definedName>
    <definedName name="fname_cpy">"cpy"</definedName>
    <definedName name="fname_deepcpy">"deepcpy"</definedName>
    <definedName name="fname_get_stock_prices">"get_stock_prices"</definedName>
    <definedName name="fname_mpl_add_legend">"mpl_add_legend"</definedName>
    <definedName name="fname_mpl_add_line_unique">"mpl_add_line_unique"</definedName>
    <definedName name="fname_mpl_create_figure_with_seed">"mpl_create_figure_with_seed"</definedName>
    <definedName name="fname_mpl_get_axes_of_fig">"mpl_get_axes_of_fig"</definedName>
    <definedName name="fname_mpl_set_ax_title">"mpl_set_ax_title"</definedName>
    <definedName name="fname_mpl_set_fig_suptitle">"mpl_set_fig_suptitle"</definedName>
    <definedName name="fname_mpl_set_xax_name">"mpl_set_xax_name"</definedName>
    <definedName name="fname_mpl_set_xlims">"mpl_set_xlims"</definedName>
    <definedName name="fname_mpl_set_yax_name">"mpl_set_yax_name"</definedName>
    <definedName name="fname_mpl_set_ylims">"mpl_set_ylims"</definedName>
    <definedName name="fname_np_linspace">"np_linspace"</definedName>
    <definedName name="fname_pallette">"pallette"</definedName>
    <definedName name="fname_pyadd">"pyadd"</definedName>
    <definedName name="fname_pydiv">"pydiv"</definedName>
    <definedName name="fname_pyeq">"pyeq"</definedName>
    <definedName name="fname_pyge">"pyge"</definedName>
    <definedName name="fname_pygetattr">"pygetattr"</definedName>
    <definedName name="fname_pygetitem">"pygetitem"</definedName>
    <definedName name="fname_pygt">"pygt"</definedName>
    <definedName name="fname_pyhash">"pyhash"</definedName>
    <definedName name="fname_pyle">"pyle"</definedName>
    <definedName name="fname_pylen">"pylen"</definedName>
    <definedName name="fname_pylt">"pylt"</definedName>
    <definedName name="fname_pymod">"pymod"</definedName>
    <definedName name="fname_pymul">"pymul"</definedName>
    <definedName name="fname_pyne">"pyne"</definedName>
    <definedName name="fname_pynot">"pynot"</definedName>
    <definedName name="fname_pypow">"pypow"</definedName>
    <definedName name="fname_pyrepr">"pyrepr"</definedName>
    <definedName name="fname_pyshape">"pyshape"</definedName>
    <definedName name="fname_pystr">"pystr"</definedName>
    <definedName name="fname_pysub">"pysub"</definedName>
    <definedName name="fname_pytype">"pytype"</definedName>
    <definedName name="fname_show">"show"</definedName>
    <definedName name="fname_show_image">"show_image"</definedName>
    <definedName name="fname_visualise_color">"visualise_color"</definedName>
    <definedName name="pyEmpty">"pyEmpty"</definedName>
    <definedName name="pyNone">"pyNone"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a="1"/>
  <c r="B28" i="1"/>
  <c r="Q6" i="1"/>
  <c r="Q7" i="1"/>
  <c r="Q8" i="1"/>
  <c r="Q9" i="1"/>
  <c r="Q10" i="1"/>
  <c r="Q11" i="1"/>
  <c r="Q12" i="1"/>
  <c r="Q13" i="1"/>
  <c r="Q14" i="1"/>
  <c r="Q15" i="1"/>
  <c r="Q16" i="1"/>
  <c r="Q17" i="1"/>
  <c r="Q18" i="1"/>
  <c r="Q19" i="1"/>
  <c r="Q20" i="1"/>
  <c r="Q21" i="1"/>
  <c r="Q22" i="1"/>
  <c r="Q23" i="1"/>
  <c r="Q24" i="1"/>
  <c r="Q25" i="1"/>
  <c r="Q36" i="1"/>
  <c r="Q37" i="1" s="1"/>
  <c r="R37" i="1"/>
  <c r="R34" i="1" a="1"/>
  <c r="S38" i="1" a="1"/>
  <c r="S37" i="1" a="1"/>
  <c r="Q34" i="1" a="1"/>
  <c r="S35" i="1" a="1"/>
  <c r="T6" i="1" a="1"/>
  <c r="K6" i="1" a="1"/>
  <c r="J28" i="1" a="1"/>
  <c r="T20" i="1" a="1"/>
  <c r="K20" i="1" a="1"/>
  <c r="T15" i="1" a="1"/>
  <c r="K15" i="1" a="1"/>
  <c r="T19" i="1" a="1"/>
  <c r="K19" i="1" a="1"/>
  <c r="T14" i="1" a="1"/>
  <c r="K14" i="1" a="1"/>
  <c r="T21" i="1" a="1"/>
  <c r="K21" i="1" a="1"/>
  <c r="T8" i="1" a="1"/>
  <c r="K8" i="1" a="1"/>
  <c r="T7" i="1" a="1"/>
  <c r="K7" i="1" a="1"/>
  <c r="T9" i="1" a="1"/>
  <c r="K9" i="1" a="1"/>
  <c r="T25" i="1" a="1"/>
  <c r="K25" i="1" a="1"/>
  <c r="T12" i="1" a="1"/>
  <c r="K12" i="1" a="1"/>
  <c r="T11" i="1" a="1"/>
  <c r="K11" i="1" a="1"/>
  <c r="T10" i="1" a="1"/>
  <c r="K10" i="1" a="1"/>
  <c r="T17" i="1" a="1"/>
  <c r="K17" i="1" a="1"/>
  <c r="T24" i="1" a="1"/>
  <c r="K24" i="1" a="1"/>
  <c r="T16" i="1" a="1"/>
  <c r="K16" i="1" a="1"/>
  <c r="T13" i="1" a="1"/>
  <c r="K13" i="1" a="1"/>
  <c r="T22" i="1" a="1"/>
  <c r="K22" i="1" a="1"/>
  <c r="T23" i="1" a="1"/>
  <c r="K23" i="1" a="1"/>
  <c r="T18" i="1" a="1"/>
  <c r="K18" i="1" a="1"/>
  <c r="S6" i="1" a="1"/>
  <c r="J6" i="1" a="1"/>
  <c r="S20" i="1" a="1"/>
  <c r="J20" i="1" a="1"/>
  <c r="S15" i="1" a="1"/>
  <c r="J15" i="1" a="1"/>
  <c r="S19" i="1" a="1"/>
  <c r="J19" i="1" a="1"/>
  <c r="S14" i="1" a="1"/>
  <c r="J14" i="1" a="1"/>
  <c r="S21" i="1" a="1"/>
  <c r="J21" i="1" a="1"/>
  <c r="S8" i="1" a="1"/>
  <c r="J8" i="1" a="1"/>
  <c r="S7" i="1" a="1"/>
  <c r="J7" i="1" a="1"/>
  <c r="S9" i="1" a="1"/>
  <c r="J9" i="1" a="1"/>
  <c r="S25" i="1" a="1"/>
  <c r="J25" i="1" a="1"/>
  <c r="S12" i="1" a="1"/>
  <c r="J12" i="1" a="1"/>
  <c r="S11" i="1" a="1"/>
  <c r="J11" i="1" a="1"/>
  <c r="S10" i="1" a="1"/>
  <c r="J10" i="1" a="1"/>
  <c r="S17" i="1" a="1"/>
  <c r="J17" i="1" a="1"/>
  <c r="S24" i="1" a="1"/>
  <c r="J24" i="1" a="1"/>
  <c r="S16" i="1" a="1"/>
  <c r="J16" i="1" a="1"/>
  <c r="S13" i="1" a="1"/>
  <c r="J13" i="1" a="1"/>
  <c r="S22" i="1" a="1"/>
  <c r="J22" i="1" a="1"/>
  <c r="S23" i="1" a="1"/>
  <c r="J23" i="1" a="1"/>
  <c r="S18" i="1" a="1"/>
  <c r="J18" i="1" a="1"/>
  <c r="I6" i="1" a="1"/>
  <c r="H28" i="1" a="1"/>
  <c r="I20" i="1" a="1"/>
  <c r="I15" i="1" a="1"/>
  <c r="I19" i="1" a="1"/>
  <c r="I14" i="1" a="1"/>
  <c r="I21" i="1" a="1"/>
  <c r="I8" i="1" a="1"/>
  <c r="I7" i="1" a="1"/>
  <c r="I9" i="1" a="1"/>
  <c r="I25" i="1" a="1"/>
  <c r="I12" i="1" a="1"/>
  <c r="I11" i="1" a="1"/>
  <c r="I10" i="1" a="1"/>
  <c r="I17" i="1" a="1"/>
  <c r="I24" i="1" a="1"/>
  <c r="I16" i="1" a="1"/>
  <c r="I13" i="1" a="1"/>
  <c r="I22" i="1" a="1"/>
  <c r="I23" i="1" a="1"/>
  <c r="I18" i="1" a="1"/>
  <c r="Y6" i="1" a="1"/>
  <c r="Y23" i="1" a="1"/>
  <c r="Y11" i="1" a="1"/>
  <c r="Y7" i="1" a="1"/>
  <c r="Y18" i="1" a="1"/>
  <c r="Y19" i="1" a="1"/>
  <c r="Y17" i="1" a="1"/>
  <c r="Y14" i="1" a="1"/>
  <c r="H6" i="1" a="1"/>
  <c r="F28" i="1" a="1"/>
  <c r="Y10" i="1" a="1"/>
  <c r="H20" i="1" a="1"/>
  <c r="H15" i="1" a="1"/>
  <c r="H19" i="1" a="1"/>
  <c r="H14" i="1" a="1"/>
  <c r="H21" i="1" a="1"/>
  <c r="H8" i="1" a="1"/>
  <c r="H7" i="1" a="1"/>
  <c r="Y16" i="1" a="1"/>
  <c r="H9" i="1" a="1"/>
  <c r="H25" i="1" a="1"/>
  <c r="H12" i="1" a="1"/>
  <c r="H11" i="1" a="1"/>
  <c r="H10" i="1" a="1"/>
  <c r="H17" i="1" a="1"/>
  <c r="H24" i="1" a="1"/>
  <c r="H16" i="1" a="1"/>
  <c r="H13" i="1" a="1"/>
  <c r="H22" i="1" a="1"/>
  <c r="H23" i="1" a="1"/>
  <c r="H18" i="1" a="1"/>
  <c r="Y21" i="1" a="1"/>
  <c r="Y8" i="1" a="1"/>
  <c r="Y24" i="1" a="1"/>
  <c r="Y15" i="1" a="1"/>
  <c r="Y25" i="1" a="1"/>
  <c r="Y12" i="1" a="1"/>
  <c r="Y13" i="1" a="1"/>
  <c r="Y20" i="1" a="1"/>
  <c r="Y9" i="1" a="1"/>
  <c r="Y22" i="1" a="1"/>
  <c r="R32" i="1" a="1"/>
  <c r="R31" i="1" a="1"/>
  <c r="R3" i="1" a="1"/>
  <c r="G6" i="1" a="1"/>
  <c r="F6" i="1" a="1"/>
  <c r="F20" i="1" a="1"/>
  <c r="G20" i="1" a="1"/>
  <c r="F15" i="1" a="1"/>
  <c r="G15" i="1" a="1"/>
  <c r="F19" i="1" a="1"/>
  <c r="G19" i="1" a="1"/>
  <c r="F14" i="1" a="1"/>
  <c r="G14" i="1" a="1"/>
  <c r="F21" i="1" a="1"/>
  <c r="G21" i="1" a="1"/>
  <c r="F8" i="1" a="1"/>
  <c r="G8" i="1" a="1"/>
  <c r="G7" i="1" a="1"/>
  <c r="F7" i="1" a="1"/>
  <c r="F9" i="1" a="1"/>
  <c r="G9" i="1" a="1"/>
  <c r="F25" i="1" a="1"/>
  <c r="G25" i="1" a="1"/>
  <c r="F12" i="1" a="1"/>
  <c r="G12" i="1" a="1"/>
  <c r="F11" i="1" a="1"/>
  <c r="G11" i="1" a="1"/>
  <c r="F10" i="1" a="1"/>
  <c r="G10" i="1" a="1"/>
  <c r="F17" i="1" a="1"/>
  <c r="G17" i="1" a="1"/>
  <c r="F24" i="1" a="1"/>
  <c r="G24" i="1" a="1"/>
  <c r="G16" i="1" a="1"/>
  <c r="F16" i="1" a="1"/>
  <c r="G13" i="1" a="1"/>
  <c r="F13" i="1" a="1"/>
  <c r="F22" i="1" a="1"/>
  <c r="G22" i="1" a="1"/>
  <c r="F23" i="1" a="1"/>
  <c r="G23" i="1" a="1"/>
  <c r="G18" i="1" a="1"/>
  <c r="F18" i="1" a="1"/>
  <c r="Q3" i="1" a="1"/>
  <c r="R2" i="1" a="1"/>
  <c r="W6" i="1" a="1"/>
  <c r="W23" i="1" a="1"/>
  <c r="W11" i="1" a="1"/>
  <c r="W7" i="1" a="1"/>
  <c r="W18" i="1" a="1"/>
  <c r="W19" i="1" a="1"/>
  <c r="W17" i="1" a="1"/>
  <c r="W14" i="1" a="1"/>
  <c r="E6" i="1" a="1"/>
  <c r="W10" i="1" a="1"/>
  <c r="E20" i="1" a="1"/>
  <c r="E15" i="1" a="1"/>
  <c r="E19" i="1" a="1"/>
  <c r="E14" i="1" a="1"/>
  <c r="E21" i="1" a="1"/>
  <c r="E8" i="1" a="1"/>
  <c r="E7" i="1" a="1"/>
  <c r="W16" i="1" a="1"/>
  <c r="E9" i="1" a="1"/>
  <c r="E25" i="1" a="1"/>
  <c r="E12" i="1" a="1"/>
  <c r="E11" i="1" a="1"/>
  <c r="E10" i="1" a="1"/>
  <c r="E17" i="1" a="1"/>
  <c r="E24" i="1" a="1"/>
  <c r="E16" i="1" a="1"/>
  <c r="E13" i="1" a="1"/>
  <c r="E22" i="1" a="1"/>
  <c r="E23" i="1" a="1"/>
  <c r="E18" i="1" a="1"/>
  <c r="W21" i="1" a="1"/>
  <c r="W8" i="1" a="1"/>
  <c r="W24" i="1" a="1"/>
  <c r="W15" i="1" a="1"/>
  <c r="W25" i="1" a="1"/>
  <c r="W12" i="1" a="1"/>
  <c r="AB7" i="1" a="1"/>
  <c r="W13" i="1" a="1"/>
  <c r="W20" i="1" a="1"/>
  <c r="W9" i="1" a="1"/>
  <c r="W22" i="1" a="1"/>
  <c r="Q2" i="1" a="1"/>
  <c r="AA7" i="1" a="1"/>
  <c r="R34" i="1" l="1"/>
  <c r="S38" i="1"/>
  <c r="S37" i="1"/>
  <c r="Q34" i="1"/>
  <c r="S35" i="1"/>
  <c r="T6" i="1"/>
  <c r="K6" i="1"/>
  <c r="J28" i="1"/>
  <c r="T20" i="1"/>
  <c r="K20" i="1"/>
  <c r="T15" i="1"/>
  <c r="K15" i="1"/>
  <c r="T19" i="1"/>
  <c r="K19" i="1"/>
  <c r="T14" i="1"/>
  <c r="K14" i="1"/>
  <c r="T21" i="1"/>
  <c r="K21" i="1"/>
  <c r="T8" i="1"/>
  <c r="K8" i="1"/>
  <c r="T7" i="1"/>
  <c r="K7" i="1"/>
  <c r="T9" i="1"/>
  <c r="K9" i="1"/>
  <c r="T25" i="1"/>
  <c r="K25" i="1"/>
  <c r="T12" i="1"/>
  <c r="K12" i="1"/>
  <c r="T11" i="1"/>
  <c r="K11" i="1"/>
  <c r="T10" i="1"/>
  <c r="K10" i="1"/>
  <c r="T17" i="1"/>
  <c r="K17" i="1"/>
  <c r="T24" i="1"/>
  <c r="K24" i="1"/>
  <c r="T16" i="1"/>
  <c r="K16" i="1"/>
  <c r="T13" i="1"/>
  <c r="K13" i="1"/>
  <c r="T22" i="1"/>
  <c r="K22" i="1"/>
  <c r="T23" i="1"/>
  <c r="K23" i="1"/>
  <c r="T18" i="1"/>
  <c r="K18" i="1"/>
  <c r="S6" i="1"/>
  <c r="J6" i="1"/>
  <c r="S20" i="1"/>
  <c r="J20" i="1"/>
  <c r="S15" i="1"/>
  <c r="J15" i="1"/>
  <c r="S19" i="1"/>
  <c r="J19" i="1"/>
  <c r="S14" i="1"/>
  <c r="J14" i="1"/>
  <c r="S21" i="1"/>
  <c r="J21" i="1"/>
  <c r="S8" i="1"/>
  <c r="J8" i="1"/>
  <c r="S7" i="1"/>
  <c r="J7" i="1"/>
  <c r="S9" i="1"/>
  <c r="J9" i="1"/>
  <c r="S25" i="1"/>
  <c r="J25" i="1"/>
  <c r="S12" i="1"/>
  <c r="J12" i="1"/>
  <c r="S11" i="1"/>
  <c r="J11" i="1"/>
  <c r="S10" i="1"/>
  <c r="J10" i="1"/>
  <c r="S17" i="1"/>
  <c r="J17" i="1"/>
  <c r="S24" i="1"/>
  <c r="J24" i="1"/>
  <c r="S16" i="1"/>
  <c r="J16" i="1"/>
  <c r="S13" i="1"/>
  <c r="J13" i="1"/>
  <c r="S22" i="1"/>
  <c r="J22" i="1"/>
  <c r="S23" i="1"/>
  <c r="J23" i="1"/>
  <c r="S18" i="1"/>
  <c r="J18" i="1"/>
  <c r="I6" i="1"/>
  <c r="H28" i="1"/>
  <c r="I20" i="1"/>
  <c r="I15" i="1"/>
  <c r="I19" i="1"/>
  <c r="I14" i="1"/>
  <c r="I21" i="1"/>
  <c r="I8" i="1"/>
  <c r="I7" i="1"/>
  <c r="I9" i="1"/>
  <c r="I25" i="1"/>
  <c r="I12" i="1"/>
  <c r="I11" i="1"/>
  <c r="I10" i="1"/>
  <c r="I17" i="1"/>
  <c r="I24" i="1"/>
  <c r="I16" i="1"/>
  <c r="I13" i="1"/>
  <c r="I22" i="1"/>
  <c r="I23" i="1"/>
  <c r="I18" i="1"/>
  <c r="Y6" i="1"/>
  <c r="Y23" i="1"/>
  <c r="Y11" i="1"/>
  <c r="Y7" i="1"/>
  <c r="Y18" i="1"/>
  <c r="Y19" i="1"/>
  <c r="Y17" i="1"/>
  <c r="Y14" i="1"/>
  <c r="H6" i="1"/>
  <c r="F28" i="1"/>
  <c r="Y10" i="1"/>
  <c r="H20" i="1"/>
  <c r="H15" i="1"/>
  <c r="H19" i="1"/>
  <c r="H14" i="1"/>
  <c r="H21" i="1"/>
  <c r="H8" i="1"/>
  <c r="H7" i="1"/>
  <c r="Y16" i="1"/>
  <c r="H9" i="1"/>
  <c r="H25" i="1"/>
  <c r="H12" i="1"/>
  <c r="H11" i="1"/>
  <c r="H10" i="1"/>
  <c r="H17" i="1"/>
  <c r="H24" i="1"/>
  <c r="H16" i="1"/>
  <c r="H13" i="1"/>
  <c r="H22" i="1"/>
  <c r="H23" i="1"/>
  <c r="H18" i="1"/>
  <c r="Y21" i="1"/>
  <c r="Y8" i="1"/>
  <c r="Y24" i="1"/>
  <c r="Y15" i="1"/>
  <c r="Y25" i="1"/>
  <c r="Y12" i="1"/>
  <c r="Y13" i="1"/>
  <c r="Y20" i="1"/>
  <c r="Y9" i="1"/>
  <c r="Y22" i="1"/>
  <c r="R32" i="1"/>
  <c r="R31" i="1"/>
  <c r="R3" i="1"/>
  <c r="G6" i="1"/>
  <c r="F6" i="1"/>
  <c r="F20" i="1"/>
  <c r="G20" i="1"/>
  <c r="F15" i="1"/>
  <c r="G15" i="1"/>
  <c r="F19" i="1"/>
  <c r="G19" i="1"/>
  <c r="F14" i="1"/>
  <c r="G14" i="1"/>
  <c r="F21" i="1"/>
  <c r="G21" i="1"/>
  <c r="F8" i="1"/>
  <c r="G8" i="1"/>
  <c r="G7" i="1"/>
  <c r="F7" i="1"/>
  <c r="F9" i="1"/>
  <c r="G9" i="1"/>
  <c r="F25" i="1"/>
  <c r="G25" i="1"/>
  <c r="F12" i="1"/>
  <c r="G12" i="1"/>
  <c r="F11" i="1"/>
  <c r="G11" i="1"/>
  <c r="F10" i="1"/>
  <c r="G10" i="1"/>
  <c r="F17" i="1"/>
  <c r="G17" i="1"/>
  <c r="F24" i="1"/>
  <c r="G24" i="1"/>
  <c r="G16" i="1"/>
  <c r="F16" i="1"/>
  <c r="G13" i="1"/>
  <c r="F13" i="1"/>
  <c r="F22" i="1"/>
  <c r="G22" i="1"/>
  <c r="F23" i="1"/>
  <c r="G23" i="1"/>
  <c r="G18" i="1"/>
  <c r="F18" i="1"/>
  <c r="Q3" i="1"/>
  <c r="R2" i="1"/>
  <c r="W6" i="1"/>
  <c r="W23" i="1"/>
  <c r="W11" i="1"/>
  <c r="W7" i="1"/>
  <c r="W18" i="1"/>
  <c r="W19" i="1"/>
  <c r="W17" i="1"/>
  <c r="W14" i="1"/>
  <c r="E6" i="1"/>
  <c r="W10" i="1"/>
  <c r="E20" i="1"/>
  <c r="E15" i="1"/>
  <c r="E19" i="1"/>
  <c r="E14" i="1"/>
  <c r="E21" i="1"/>
  <c r="E8" i="1"/>
  <c r="E7" i="1"/>
  <c r="W16" i="1"/>
  <c r="E9" i="1"/>
  <c r="E25" i="1"/>
  <c r="E12" i="1"/>
  <c r="E11" i="1"/>
  <c r="E10" i="1"/>
  <c r="E17" i="1"/>
  <c r="E24" i="1"/>
  <c r="E16" i="1"/>
  <c r="E13" i="1"/>
  <c r="E22" i="1"/>
  <c r="E23" i="1"/>
  <c r="E18" i="1"/>
  <c r="W21" i="1"/>
  <c r="W8" i="1"/>
  <c r="W24" i="1"/>
  <c r="W15" i="1"/>
  <c r="W25" i="1"/>
  <c r="W12" i="1"/>
  <c r="AB7" i="1"/>
  <c r="W13" i="1"/>
  <c r="W20" i="1"/>
  <c r="W9" i="1"/>
  <c r="W22" i="1"/>
  <c r="Q2" i="1"/>
  <c r="AA7" i="1"/>
  <c r="R29" i="1"/>
  <c r="Q29" i="1" a="1"/>
  <c r="Q29" i="1" l="1"/>
  <c r="R16" i="1"/>
  <c r="R17" i="1"/>
  <c r="R15" i="1"/>
  <c r="R23" i="1"/>
  <c r="R20" i="1"/>
  <c r="R7" i="1"/>
  <c r="R18" i="1"/>
  <c r="R21" i="1"/>
  <c r="R19" i="1"/>
  <c r="R22" i="1"/>
  <c r="R14" i="1"/>
  <c r="R9" i="1"/>
  <c r="R25" i="1"/>
  <c r="R12" i="1"/>
  <c r="R13" i="1"/>
  <c r="R24" i="1"/>
  <c r="R10" i="1"/>
  <c r="R11" i="1"/>
  <c r="R8" i="1"/>
  <c r="P41" i="1" a="1"/>
  <c r="P41" i="1" l="1"/>
  <c r="R6" i="1"/>
  <c r="Q42" i="1" a="1"/>
  <c r="Q4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evansdw</author>
  </authors>
  <commentList>
    <comment ref="A1" authorId="0" shapeId="0" xr:uid="{09B1A1C0-F307-4B59-9350-C8E5CB401A0A}">
      <text>
        <r>
          <rPr>
            <b/>
            <sz val="9"/>
            <color indexed="81"/>
            <rFont val="Tahoma"/>
            <charset val="1"/>
          </rPr>
          <t xml:space="preserve">BEFORE YOU RUN
</t>
        </r>
        <r>
          <rPr>
            <sz val="9"/>
            <color indexed="81"/>
            <rFont val="Tahoma"/>
            <family val="2"/>
          </rPr>
          <t xml:space="preserve">Enable vba access to the vbe (file, options, trust centre, trust centre settings, macro settings, enable access to the vba project object model)
</t>
        </r>
        <r>
          <rPr>
            <b/>
            <sz val="9"/>
            <color indexed="81"/>
            <rFont val="Tahoma"/>
            <charset val="1"/>
          </rPr>
          <t xml:space="preserve">
</t>
        </r>
        <r>
          <rPr>
            <sz val="9"/>
            <color indexed="81"/>
            <rFont val="Tahoma"/>
            <family val="2"/>
          </rPr>
          <t xml:space="preserve">Open the xlpro ribbon
Configure the config.toml to point to your vscode.exe path and xlpro-cli.exe path either manually (%userprofile%/.xlpro/xlpro-cli.exe) or you should relog to force office services to update the path. (there is a button to open the config.toml)
Press Init and follow the prompts to install python 3.13 a and the requirements (hold on here, this needs some manual correction). Use the uv-download option
Press Start (wont work the first time, this will just push the update to the .vscode/launch.json file)
Edit the project in vscode (using the button, should work if you configured things properly)
ctrl+shift+p &gt; remove workspace interpereter setting
Start a new terminal in vscode (should activate the venv which is in .vscode/launch.json) (new terminal will boot into venv if the environment setting above is cleared correctly and then terminal is opened). Then install the dependency below for this example
&gt;&gt; pip install yfinance
</t>
        </r>
      </text>
    </comment>
    <comment ref="Q2" authorId="0" shapeId="0" xr:uid="{CDB4CCBB-2BF8-4535-8F5B-AF57A4C825E9}">
      <text>
        <r>
          <rPr>
            <sz val="9"/>
            <color indexed="81"/>
            <rFont val="Tahoma"/>
            <family val="2"/>
          </rPr>
          <t>Creating a matplotlib figure and then adding lines to the axes allows a plot to be built dynamically, with most of the logic contained in Excel.</t>
        </r>
      </text>
    </comment>
    <comment ref="Q3" authorId="0" shapeId="0" xr:uid="{DE3010FD-41A8-48F8-A918-54FAB53B67C2}">
      <text>
        <r>
          <rPr>
            <sz val="9"/>
            <color indexed="81"/>
            <rFont val="Tahoma"/>
            <family val="2"/>
          </rPr>
          <t>This is an iterable result which is expanded by default by xlpro. 
This returns a spill array (if more than one value is contained) and you can address the python objects individually from excel formulas.
The pallette() function is a good example of this in action</t>
        </r>
      </text>
    </comment>
    <comment ref="W6" authorId="0" shapeId="0" xr:uid="{7D33F049-A981-47E0-95D9-5E6F0A4F212F}">
      <text>
        <r>
          <rPr>
            <sz val="9"/>
            <color indexed="81"/>
            <rFont val="Tahoma"/>
            <family val="2"/>
          </rPr>
          <t xml:space="preserve">pygetitem
</t>
        </r>
      </text>
    </comment>
    <comment ref="Y6" authorId="0" shapeId="0" xr:uid="{66B4A284-45BF-4FA4-8A75-D1D722E94FD7}">
      <text>
        <r>
          <rPr>
            <sz val="9"/>
            <color indexed="81"/>
            <rFont val="Tahoma"/>
            <family val="2"/>
          </rPr>
          <t>Excel native UDFs cannot safely modify the format properties of any cell. Doing this in excel requires a subroutine!
The visualise_color() function is an example of a function which can modify the workbook and update with the calculation loop.</t>
        </r>
      </text>
    </comment>
    <comment ref="B28" authorId="0" shapeId="0" xr:uid="{5F3D1102-81F5-49AF-A399-51F8E290E853}">
      <text>
        <r>
          <rPr>
            <sz val="9"/>
            <color indexed="81"/>
            <rFont val="Tahoma"/>
            <family val="2"/>
          </rPr>
          <t>pygetattr() and show() are chained so you can inspect the column layout (in this case)</t>
        </r>
      </text>
    </comment>
    <comment ref="F28" authorId="0" shapeId="0" xr:uid="{DD3B81E8-8C2F-4282-B582-0B79158A136B}">
      <text>
        <r>
          <rPr>
            <sz val="9"/>
            <color indexed="81"/>
            <rFont val="Tahoma"/>
            <family val="2"/>
          </rPr>
          <t>show() of an iterable structure can be called to spit the array result into Excel for inspection.
The date-formatted data from the dataframe is converted to Excel's serial representation so it can be formatted with a Date format.</t>
        </r>
      </text>
    </comment>
    <comment ref="Q29" authorId="0" shapeId="0" xr:uid="{91920398-EB8C-48E1-BDD9-75C15957554E}">
      <text/>
    </comment>
    <comment ref="R37" authorId="0" shapeId="0" xr:uid="{7D4921BA-F134-4141-900B-DACDF343060C}">
      <text>
        <r>
          <rPr>
            <sz val="9"/>
            <color indexed="81"/>
            <rFont val="Tahoma"/>
            <family val="2"/>
          </rPr>
          <t>Date-formatted cells change the values which Excel provides to the python server. Formatting the values as dates in this example causes the matplotlib figure to use a date x-axis</t>
        </r>
      </text>
    </comment>
    <comment ref="P41" authorId="0" shapeId="0" xr:uid="{580F5FCB-42FE-4202-A8F7-4F09E28FE026}">
      <text>
        <r>
          <rPr>
            <sz val="9"/>
            <color indexed="81"/>
            <rFont val="Tahoma"/>
            <family val="2"/>
          </rPr>
          <t>To ensure the image reflects the latest updates to the in-memory object, a seed value which varies based on all the precedent lines, legends, titles etc will force excel to recalculate the image-generating cell equation.</t>
        </r>
      </text>
    </comment>
    <comment ref="Q42" authorId="0" shapeId="0" xr:uid="{13E7AC64-973B-47BC-B2AC-F4F8B5A601F8}">
      <text>
        <r>
          <rPr>
            <sz val="9"/>
            <color indexed="81"/>
            <rFont val="Tahoma"/>
            <family val="2"/>
          </rPr>
          <t>the show_image() function can handle matplotlib objects natively.</t>
        </r>
      </text>
    </comment>
    <comment ref="N69" authorId="0" shapeId="0" xr:uid="{6ACA1BE7-4658-410B-A4CB-9A199F0F24DF}">
      <text>
        <r>
          <rPr>
            <sz val="9"/>
            <color indexed="81"/>
            <rFont val="Tahoma"/>
            <family val="2"/>
          </rPr>
          <t>For performance and dynamic updating behaviour, xlpro runs as an asynchronous background process. The server returns a "Promise…" initial value, and continues to calculate the requested commands in the background.
Once each calculation completes, a call is issued to Excel to bump the recalculation cycle.
This is inherently macro-like behaviour, which unfortinately has the consequence of wiping the undo stack of the Excel application (there is nothing we can do about this)
To remedy this, a custom undo/redo is provided in the xlpro ribbon tab. This tracks typing, deletion and basic copy/paste operations so mistakes aren't difficult to revert</t>
        </r>
      </text>
    </comment>
    <comment ref="N79" authorId="0" shapeId="0" xr:uid="{7DE8E384-2990-4613-8C1B-748CA299CA34}">
      <text>
        <r>
          <rPr>
            <sz val="9"/>
            <color indexed="81"/>
            <rFont val="Tahoma"/>
            <family val="2"/>
          </rPr>
          <t>xlpro relies on a results cache which is indexed by a hash of the cell address function, and function arguments.
If a function raises an exception, this exception value will remain as the lookup value for the cell formula.
The "Force Recalc Region" button will clear the cache linked to that cell and force a recalculate. This is useful in cases where external factors may cause a function to throw an error, e.g. files being open, internet access, timeouts etc.</t>
        </r>
      </text>
    </comment>
    <comment ref="N88" authorId="0" shapeId="0" xr:uid="{9F244F4F-367B-4F6D-A045-3307256FB55B}">
      <text>
        <r>
          <rPr>
            <sz val="9"/>
            <color indexed="81"/>
            <rFont val="Tahoma"/>
            <family val="2"/>
          </rPr>
          <t>To use an xlpro-enabled workbook, the user's machine will be configured by the xlpro desktop application to replicate the same environment of the author.
The Init button will open a shell window where the user can select a python version to reuse or install from scratch (using uv). 
The requirements of the author's environment are then used to install the necessary requirements (e.g. pip install numpy).
This should push the reader to the same 3.XX version as the author.
The Serve button is what you use to spin up the background python server. Clicking this button will kill the existing instance and run a fresh one.
The Sync button is a soft-reset for the xlpro workspace (xlpro workspaces are tied to the workbook). I.e. this will clear the cache and more importantly will reload your python files under functions.py and subroutines.py.
Clearing the cache will reset all the python calculations, so they will be recalculated when the sheet is recalculated using F9 for example.
The Edit Config button opens the config.toml file for some light configurations for the xlpro desktop app
The Edit button will open up VSCode to the xlpro workspace code folder, where you can start adding functions in the functions.py file for example.
xlpro integrates with VSCode in two interesting ways
  1. The debug configuration in launch.json is updated dynamically, just add breakpoints and press run (on the debug configuration, not the file) and watch excel enter the breakpoints.
  2. The VSCode workspace is configured to use the same interpreter that the xlpro server is running on. Use the pallette menu (Ctrl+Shift+P) to "Clear Workspace Python Interpreter Setting". Now creating a new terminal in VSC will activate your venv if you need to pip install a new package. 
This also ensures that the VSC Python extension language server matches the xlpro venv, so your language server sees what xlpro sees. I.e. this allows intellisense and autocomplete to work.
Push Reqs will push the reqs of your environment to the server location (i.e. the folder adjacent to the workbook). Use this if you update your requirements manually.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<sst xmlns="http://schemas.openxmlformats.org/spreadsheetml/2006/main" count="70" uniqueCount="52">
  <si>
    <t>ex1</t>
  </si>
  <si>
    <t>Sheet</t>
  </si>
  <si>
    <t>Description</t>
  </si>
  <si>
    <t>Title</t>
  </si>
  <si>
    <t>y-ax Label</t>
  </si>
  <si>
    <t>x-ax Label</t>
  </si>
  <si>
    <t>Legend</t>
  </si>
  <si>
    <t>AAPL</t>
  </si>
  <si>
    <t>GOOG</t>
  </si>
  <si>
    <t>TSLA</t>
  </si>
  <si>
    <t>Time</t>
  </si>
  <si>
    <t>Price</t>
  </si>
  <si>
    <t>xlims</t>
  </si>
  <si>
    <t>ylims</t>
  </si>
  <si>
    <t>figure3</t>
  </si>
  <si>
    <t>Days</t>
  </si>
  <si>
    <t>df</t>
  </si>
  <si>
    <t>df.Date</t>
  </si>
  <si>
    <t>df.Close</t>
  </si>
  <si>
    <t>df.Close.TICKER</t>
  </si>
  <si>
    <t>Color Pallette</t>
  </si>
  <si>
    <t>MSFT</t>
  </si>
  <si>
    <t>AMZN</t>
  </si>
  <si>
    <t>NVDA</t>
  </si>
  <si>
    <t>META</t>
  </si>
  <si>
    <t>-</t>
  </si>
  <si>
    <t>normalised</t>
  </si>
  <si>
    <t>0th</t>
  </si>
  <si>
    <t>NFLX</t>
  </si>
  <si>
    <t>AMD</t>
  </si>
  <si>
    <t>INTC</t>
  </si>
  <si>
    <t>BABA</t>
  </si>
  <si>
    <t>CRM</t>
  </si>
  <si>
    <t>ADBE</t>
  </si>
  <si>
    <t>ORCL</t>
  </si>
  <si>
    <t>PYPL</t>
  </si>
  <si>
    <t>SHOP</t>
  </si>
  <si>
    <t>UBER</t>
  </si>
  <si>
    <t>LYFT</t>
  </si>
  <si>
    <t>DIS</t>
  </si>
  <si>
    <t>NKE</t>
  </si>
  <si>
    <t>--</t>
  </si>
  <si>
    <t>Ticker</t>
  </si>
  <si>
    <t>Label</t>
  </si>
  <si>
    <t>x</t>
  </si>
  <si>
    <t>y(normalised)</t>
  </si>
  <si>
    <t>Stock price analysis using Matplotlib</t>
  </si>
  <si>
    <t>fetch yfinance data for this period</t>
  </si>
  <si>
    <t>Plot days</t>
  </si>
  <si>
    <t>General Notes</t>
  </si>
  <si>
    <t>Force Recalculation</t>
  </si>
  <si>
    <t>Getting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</si>
</sst>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9"/>
      <color indexed="81"/>
      <name val="Tahoma"/>
      <family val="2"/>
    </font>
    <font>
      <b/>
      <sz val="9"/>
      <color indexed="81"/>
      <name val="Tahoma"/>
      <charset val="1"/>
    </font>
  </fonts>
  <fills count="12">
    <fill>
      <patternFill patternType="none"/>
    </fill>
    <fill>
      <patternFill patternType="gray125"/>
    </fill>
    <fill>
      <patternFill patternType="solid">
        <fgColor rgb="FF9467BD"/>
        <bgColor indexed="64"/>
      </patternFill>
    </fill>
    <fill>
      <patternFill patternType="solid">
        <fgColor rgb="FF1F77B4"/>
        <bgColor indexed="64"/>
      </patternFill>
    </fill>
    <fill>
      <patternFill patternType="solid">
        <fgColor rgb="FFE377C2"/>
        <bgColor indexed="64"/>
      </patternFill>
    </fill>
    <fill>
      <patternFill patternType="solid">
        <fgColor rgb="FF8C564B"/>
        <bgColor indexed="64"/>
      </patternFill>
    </fill>
    <fill>
      <patternFill patternType="solid">
        <fgColor rgb="FFD62728"/>
        <bgColor indexed="64"/>
      </patternFill>
    </fill>
    <fill>
      <patternFill patternType="solid">
        <fgColor rgb="FF2CA02C"/>
        <bgColor indexed="64"/>
      </patternFill>
    </fill>
    <fill>
      <patternFill patternType="solid">
        <fgColor rgb="FFFF7F0E"/>
        <bgColor indexed="64"/>
      </patternFill>
    </fill>
    <fill>
      <patternFill patternType="solid">
        <fgColor rgb="FF7F7F7F"/>
        <bgColor indexed="64"/>
      </patternFill>
    </fill>
    <fill>
      <patternFill patternType="solid">
        <fgColor rgb="FF17BECF"/>
        <bgColor indexed="64"/>
      </patternFill>
    </fill>
    <fill>
      <patternFill patternType="solid">
        <fgColor rgb="FFBCBD2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0" borderId="0" xfId="0" quotePrefix="1"/>
    <xf numFmtId="14" fontId="0" fillId="0" borderId="0" xfId="0" applyNumberFormat="1"/>
    <xf numFmtId="0" fontId="0" fillId="9" borderId="0" xfId="0" applyFill="1"/>
    <xf numFmtId="0" fontId="0" fillId="10" borderId="0" xfId="0" applyFill="1"/>
    <xf numFmtId="0" fontId="0" fillId="11"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42</xdr:row>
      <xdr:rowOff>0</xdr:rowOff>
    </xdr:from>
    <xdr:to>
      <xdr:col>23</xdr:col>
      <xdr:colOff>461010</xdr:colOff>
      <xdr:row>65</xdr:row>
      <xdr:rowOff>7620</xdr:rowOff>
    </xdr:to>
    <xdr:pic>
      <xdr:nvPicPr>
        <xdr:cNvPr id="13" name="figure3">
          <a:extLst>
            <a:ext uri="{FF2B5EF4-FFF2-40B4-BE49-F238E27FC236}">
              <a16:creationId xmlns:a16="http://schemas.microsoft.com/office/drawing/2014/main" id="{0F77BCB1-2FC3-11C9-BBD3-BBFFCB957AC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82325" y="7981950"/>
          <a:ext cx="5852160" cy="43891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EEFE4-268B-49C5-AB40-BCFF7893578D}">
  <sheetPr codeName="Sheet1"/>
  <dimension ref="B3:C5"/>
  <sheetViews>
    <sheetView workbookViewId="0">
      <selection activeCell="C11" sqref="C11"/>
    </sheetView>
  </sheetViews>
  <sheetFormatPr defaultRowHeight="15" x14ac:dyDescent="0.25"/>
  <cols>
    <col min="3" max="3" width="41.5703125" customWidth="1"/>
  </cols>
  <sheetData>
    <row r="3" spans="2:3" x14ac:dyDescent="0.25">
      <c r="B3" t="s">
        <v>1</v>
      </c>
      <c r="C3" t="s">
        <v>2</v>
      </c>
    </row>
    <row r="5" spans="2:3" x14ac:dyDescent="0.25">
      <c r="B5" t="s">
        <v>0</v>
      </c>
      <c r="C5"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8BA5-A110-4D23-B379-FA0D9F47B262}">
  <sheetPr codeName="Sheet2"/>
  <dimension ref="A1:AB1265"/>
  <sheetViews>
    <sheetView tabSelected="1" topLeftCell="A4" zoomScale="70" zoomScaleNormal="70" workbookViewId="0">
      <selection activeCell="M32" sqref="M32"/>
    </sheetView>
  </sheetViews>
  <sheetFormatPr defaultRowHeight="15" x14ac:dyDescent="0.25"/>
  <cols>
    <col min="1" max="2" width="16.7109375" customWidth="1"/>
    <col min="5" max="5" width="9.140625" customWidth="1"/>
    <col min="6" max="6" width="12.42578125" bestFit="1" customWidth="1"/>
    <col min="17" max="18" width="10.5703125" bestFit="1" customWidth="1"/>
    <col min="19" max="19" width="13.5703125" bestFit="1" customWidth="1"/>
    <col min="20" max="20" width="16.85546875" customWidth="1"/>
    <col min="21" max="21" width="11" bestFit="1" customWidth="1"/>
    <col min="36" max="36" width="19.28515625" customWidth="1"/>
  </cols>
  <sheetData>
    <row r="1" spans="1:28" x14ac:dyDescent="0.25"/>
    <row r="2" spans="1:28" ht="13.5" customHeight="1" x14ac:dyDescent="0.25">
      <c r="P2">
        <v>3</v>
      </c>
      <c r="Q2" t="str" cm="1">
        <f t="array" ref="Q2">mpl_create_figure_with_seed(P2)</f>
        <v>PyObj&lt;ex1$Q$24c0e8aacb3d475b2ac450f12c115bf11a1c57b1beb6d4a0a50d94d04dc85fdc6&gt;</v>
      </c>
      <c r="R2" t="str" cm="1">
        <f t="array" ref="R2">pytype(Q2)</f>
        <v>&lt;class 'matplotlib.figure.Figure'&gt;</v>
      </c>
    </row>
    <row r="3" spans="1:28" x14ac:dyDescent="0.25">
      <c r="D3" t="s">
        <v>15</v>
      </c>
      <c r="E3">
        <v>1800</v>
      </c>
      <c r="F3" t="s">
        <v>47</v>
      </c>
      <c r="Q3" t="str" cm="1">
        <f t="array" ref="Q3">mpl_get_axes_of_fig(Q2)</f>
        <v>PyObj&lt;ex1$Q$32c2e8ea839c934030be7b58f5e4277f9472910a03434a6c6b8d9c117a8fbcbdf&gt;_0</v>
      </c>
      <c r="R3" t="str" cm="1">
        <f t="array" ref="R3">pytype(Q3)</f>
        <v>&lt;class 'matplotlib.axes._axes.Axes'&gt;</v>
      </c>
    </row>
    <row r="5" spans="1:28" x14ac:dyDescent="0.25">
      <c r="D5" t="s">
        <v>42</v>
      </c>
      <c r="E5" t="s">
        <v>16</v>
      </c>
      <c r="F5" t="s">
        <v>17</v>
      </c>
      <c r="G5" t="s">
        <v>18</v>
      </c>
      <c r="H5" t="s">
        <v>19</v>
      </c>
      <c r="I5" t="s">
        <v>27</v>
      </c>
      <c r="J5" t="s">
        <v>26</v>
      </c>
      <c r="Q5" t="s">
        <v>43</v>
      </c>
      <c r="R5" t="s">
        <v>44</v>
      </c>
      <c r="S5" t="s">
        <v>45</v>
      </c>
    </row>
    <row r="6" spans="1:28" x14ac:dyDescent="0.25">
      <c r="D6" t="s">
        <v>7</v>
      </c>
      <c r="E6" t="str" cm="1">
        <f t="array" ref="E6">get_stock_prices(D6,$E$3)</f>
        <v>PyObj&lt;ex1$E$61cf99e1215b4c21201c31703643d80ac23ea4066a24121b1133bca09078a0c3b&gt;</v>
      </c>
      <c r="F6" t="str" cm="1">
        <f t="array" ref="F6">pygetattr(E6, "Date")</f>
        <v>PyObj&lt;ex1$F$650e83c41500fb26603f861a1b8b54bd55f19f0fb63e3de2fb98029072c80dc8f&gt;</v>
      </c>
      <c r="G6" t="str" cm="1">
        <f t="array" ref="G6">pygetattr(E6, "Close")</f>
        <v>PyObj&lt;ex1$G$6db4396285d5a6915a7acac08b4b569f5c29ec1b1b1f1803a9eca4a82a1f9e006&gt;</v>
      </c>
      <c r="H6" t="str" cm="1">
        <f t="array" ref="H6">pygetattr(G6, D6)</f>
        <v>PyObj&lt;ex1$H$6755a32efcd8fd59896373d9b0ff631e02ce7ada8830269ac6039e5b72f670b2d&gt;</v>
      </c>
      <c r="I6" s="9" cm="1">
        <f t="array" ref="I6">pygetitem(H6,0)</f>
        <v>90.251754760742188</v>
      </c>
      <c r="J6" t="str" cm="1">
        <f t="array" ref="J6">pydiv(H6, I6)</f>
        <v>PyObj&lt;ex1$J$6ab1189b01cb2ccef485fd8c9a5a9f090215ac68f5dbbb00e248e15dd6c357f09&gt;</v>
      </c>
      <c r="K6" t="str" cm="1">
        <f t="array" ref="K6">pytype(J6)</f>
        <v>&lt;class 'pandas.core.series.Series'&gt;</v>
      </c>
      <c r="Q6" t="str">
        <f t="shared" ref="Q6:Q25" si="0">D6</f>
        <v>AAPL</v>
      </c>
      <c r="R6" t="str">
        <f t="shared" ref="R6:R25" si="1">F6</f>
        <v>PyObj&lt;ex1$F$650e83c41500fb26603f861a1b8b54bd55f19f0fb63e3de2fb98029072c80dc8f&gt;</v>
      </c>
      <c r="S6" t="str" cm="1">
        <f t="array" ref="S6">pydiv(H6, pygetitem(H6,0))</f>
        <v>PyObj&lt;ex1$S$6ab1189b01cb2ccef485fd8c9a5a9f090215ac68f5dbbb00e248e15dd6c357f09&gt;</v>
      </c>
      <c r="T6" t="str" cm="1">
        <f t="array" ref="T6">mpl_add_line_unique($Q$3,R6,S6,Q6, U6, W6,1.2,3)</f>
        <v>PyObj&lt;ex1$T$63907fb258c3e4a3eebb7b5a0e4acdaa2446ea8c3a1a3f0ab57318070e7b12187&gt;</v>
      </c>
      <c r="U6" s="9" t="s">
        <v>41</v>
      </c>
      <c r="W6" t="str" cm="1">
        <f t="array" ref="W6">pygetitem($AA$7, X6)</f>
        <v>PyObj&lt;ex1$W$67ee01c1fce27ae26319f696aa9518185da5d89bae52e86e5e1670f807c17ca9e&gt;_0</v>
      </c>
      <c r="X6">
        <v>1</v>
      </c>
      <c r="Y6" s="8" t="str" cm="1">
        <f t="array" ref="Y6">visualise_color(pymul(W6, 255))</f>
        <v>[255. 127.  14.]</v>
      </c>
      <c r="AA6" s="1" t="s">
        <v>20</v>
      </c>
    </row>
    <row r="7" spans="1:28" x14ac:dyDescent="0.25">
      <c r="D7" t="s">
        <v>21</v>
      </c>
      <c r="E7" t="str" cm="1">
        <f t="array" ref="E7">get_stock_prices(D7,$E$3)</f>
        <v>PyObj&lt;ex1$E$7a046dfe75cfa49f75fc56b785e069e9db30a9452c025b58f28e924121d82bf34&gt;</v>
      </c>
      <c r="F7" t="str" cm="1">
        <f t="array" ref="F7">pygetattr(E7, "Date")</f>
        <v>PyObj&lt;ex1$F$737bb399b2a0d80f18793dbe42c59fafb203fde496d12ce0afd4ffb55576c9675&gt;</v>
      </c>
      <c r="G7" t="str" cm="1">
        <f t="array" ref="G7">pygetattr(E7, "Close")</f>
        <v>PyObj&lt;ex1$G$74e806d5484355a7fc7b6534c60eeec15140762f1ec38459e83d3e66d1e983ba5&gt;</v>
      </c>
      <c r="H7" t="str" cm="1">
        <f t="array" ref="H7">pygetattr(G7, D7)</f>
        <v>PyObj&lt;ex1$H$7e8d31ac6e690c016e58ad04ac19975f1d035515724f539718d07d1ccf5a78cf5&gt;</v>
      </c>
      <c r="I7" s="9" cm="1">
        <f t="array" ref="I7">pygetitem(H7,0)</f>
        <v>194.05062866210938</v>
      </c>
      <c r="J7" t="str" cm="1">
        <f t="array" ref="J7">pydiv(H7, I7)</f>
        <v>PyObj&lt;ex1$J$7dfeb50efd874c76c9cdb71ffd2c14168e90a24a22da07653459f19505ece7f96&gt;</v>
      </c>
      <c r="K7" t="str" cm="1">
        <f t="array" ref="K7">pytype(J7)</f>
        <v>&lt;class 'pandas.core.series.Series'&gt;</v>
      </c>
      <c r="Q7" t="str">
        <f t="shared" si="0"/>
        <v>MSFT</v>
      </c>
      <c r="R7" t="str">
        <f t="shared" si="1"/>
        <v>PyObj&lt;ex1$F$737bb399b2a0d80f18793dbe42c59fafb203fde496d12ce0afd4ffb55576c9675&gt;</v>
      </c>
      <c r="S7" t="str" cm="1">
        <f t="array" ref="S7">pydiv(H7, pygetitem(H7,0))</f>
        <v>PyObj&lt;ex1$S$7dfeb50efd874c76c9cdb71ffd2c14168e90a24a22da07653459f19505ece7f96&gt;</v>
      </c>
      <c r="T7" t="str" cm="1">
        <f t="array" ref="T7">mpl_add_line_unique($Q$3,R7,S7,Q7, U7, W7,1.2)</f>
        <v>PyObj&lt;ex1$T$774e46bdf03e98a75064e3d0692edd611fc4e60bcafa82aa0ae6923acb1b1642e&gt;</v>
      </c>
      <c r="U7" s="9" t="s">
        <v>25</v>
      </c>
      <c r="W7" t="str" cm="1">
        <f t="array" ref="W7">pygetitem($AA$7, X7)</f>
        <v>PyObj&lt;ex1$W$7a7459bde3f11791daa679ff7798482af47947036adfb3f4622d2ea58aac461bf&gt;_0</v>
      </c>
      <c r="X7">
        <v>9</v>
      </c>
      <c r="Y7" s="12" t="str" cm="1">
        <f t="array" ref="Y7">visualise_color(pymul(W7, 255))</f>
        <v>[ 23. 190. 207.]</v>
      </c>
      <c r="AA7" t="str" cm="1">
        <f t="array" ref="AA7">condense(pallette())</f>
        <v>PyObj&lt;ex1$AA$79d4cb1dca5512f32debcbedcaf470e7c3b80796f2c1c13ee4ca5ae808f88d2bc&gt;</v>
      </c>
      <c r="AB7" t="str" cm="1">
        <f t="array" ref="AB7">pytype(AA7)</f>
        <v>&lt;class 'list'&gt;</v>
      </c>
    </row>
    <row r="8" spans="1:28" x14ac:dyDescent="0.25">
      <c r="D8" t="s">
        <v>8</v>
      </c>
      <c r="E8" t="str" cm="1">
        <f t="array" ref="E8">get_stock_prices(D8,$E$3)</f>
        <v>PyObj&lt;ex1$E$838033a9f0b4ea06ff20c2795cc03a85b5dd315eb012189f450d08f3b07064c19&gt;</v>
      </c>
      <c r="F8" t="str" cm="1">
        <f t="array" ref="F8">pygetattr(E8, "Date")</f>
        <v>PyObj&lt;ex1$F$82fbd6a90be3b909bf3a6ac1a2ad6199533ec558f270b8dbfa562d900a0a73f77&gt;</v>
      </c>
      <c r="G8" t="str" cm="1">
        <f t="array" ref="G8">pygetattr(E8, "Close")</f>
        <v>PyObj&lt;ex1$G$87196a05fd96a003019d92d48af4b0393a991a06c5edf93a97f4375e01c4b3e18&gt;</v>
      </c>
      <c r="H8" t="str" cm="1">
        <f t="array" ref="H8">pygetattr(G8, D8)</f>
        <v>PyObj&lt;ex1$H$87cc420b3497ad559fdec2caa7073592ba50bac2a9480fbc48328d0dcdc3bc8ac&gt;</v>
      </c>
      <c r="I8" s="9" cm="1">
        <f t="array" ref="I8">pygetitem(H8,0)</f>
        <v>75.336189270019531</v>
      </c>
      <c r="J8" t="str" cm="1">
        <f t="array" ref="J8">pydiv(H8, I8)</f>
        <v>PyObj&lt;ex1$J$8b11080c732b19666aeb6acd4168d9af4813f1da728682179d0c88aa57d67a64a&gt;</v>
      </c>
      <c r="K8" t="str" cm="1">
        <f t="array" ref="K8">pytype(J8)</f>
        <v>&lt;class 'pandas.core.series.Series'&gt;</v>
      </c>
      <c r="Q8" t="str">
        <f t="shared" si="0"/>
        <v>GOOG</v>
      </c>
      <c r="R8" t="str">
        <f t="shared" si="1"/>
        <v>PyObj&lt;ex1$F$82fbd6a90be3b909bf3a6ac1a2ad6199533ec558f270b8dbfa562d900a0a73f77&gt;</v>
      </c>
      <c r="S8" t="str" cm="1">
        <f t="array" ref="S8">pydiv(H8, pygetitem(H8,0))</f>
        <v>PyObj&lt;ex1$S$8b11080c732b19666aeb6acd4168d9af4813f1da728682179d0c88aa57d67a64a&gt;</v>
      </c>
      <c r="T8" t="str" cm="1">
        <f t="array" ref="T8">mpl_add_line_unique($Q$3,R8,S8,Q8, U8, W8,1.2)</f>
        <v>PyObj&lt;ex1$T$8b80f1e8562de4c5d1ae1d5776ca4944e0c7119aef44e367601b3ff54acc5885e&gt;</v>
      </c>
      <c r="U8" s="9" t="s">
        <v>25</v>
      </c>
      <c r="W8" t="str" cm="1">
        <f t="array" ref="W8">pygetitem($AA$7, X8)</f>
        <v>PyObj&lt;ex1$W$893f41f94b2e7fefdd25d841e21442abfbc3a766cf9771abdc0ea45d6bea14cd5&gt;_0</v>
      </c>
      <c r="X8">
        <v>2</v>
      </c>
      <c r="Y8" s="7" t="str" cm="1">
        <f t="array" ref="Y8">visualise_color(pymul(W8, 255))</f>
        <v>[ 44. 160.  44.]</v>
      </c>
    </row>
    <row r="9" spans="1:28" x14ac:dyDescent="0.25">
      <c r="D9" t="s">
        <v>22</v>
      </c>
      <c r="E9" t="str" cm="1">
        <f t="array" ref="E9">get_stock_prices(D9,$E$3)</f>
        <v>PyObj&lt;ex1$E$9e8bb820e8e08113e011d62330061b0b0bd27e27422e64398dfb027e3aa995c98&gt;</v>
      </c>
      <c r="F9" t="str" cm="1">
        <f t="array" ref="F9">pygetattr(E9, "Date")</f>
        <v>PyObj&lt;ex1$F$9a60417cd34e3e9c464ea668cdc5ebec38424b0235530fc54e78d9e6276382604&gt;</v>
      </c>
      <c r="G9" t="str" cm="1">
        <f t="array" ref="G9">pygetattr(E9, "Close")</f>
        <v>PyObj&lt;ex1$G$935d76aa96b394f4ea4b12cf5fc873f17f0cdd5ce30bdb1bd9c35ddc2a21822c7&gt;</v>
      </c>
      <c r="H9" t="str" cm="1">
        <f t="array" ref="H9">pygetattr(G9, D9)</f>
        <v>PyObj&lt;ex1$H$9b34fb69897f428f593bfdb1a1c1eee133c72d75e72bae3134b1f48dcadeebec1&gt;</v>
      </c>
      <c r="I9" s="9" cm="1">
        <f t="array" ref="I9">pygetitem(H9,0)</f>
        <v>149.32749938964844</v>
      </c>
      <c r="J9" t="str" cm="1">
        <f t="array" ref="J9">pydiv(H9, I9)</f>
        <v>PyObj&lt;ex1$J$989edae4fcf64d6258192c03cb50191670dce7d4090a568c3b7b0292bf4332a2e&gt;</v>
      </c>
      <c r="K9" t="str" cm="1">
        <f t="array" ref="K9">pytype(J9)</f>
        <v>&lt;class 'pandas.core.series.Series'&gt;</v>
      </c>
      <c r="Q9" t="str">
        <f t="shared" si="0"/>
        <v>AMZN</v>
      </c>
      <c r="R9" t="str">
        <f t="shared" si="1"/>
        <v>PyObj&lt;ex1$F$9a60417cd34e3e9c464ea668cdc5ebec38424b0235530fc54e78d9e6276382604&gt;</v>
      </c>
      <c r="S9" t="str" cm="1">
        <f t="array" ref="S9">pydiv(H9, pygetitem(H9,0))</f>
        <v>PyObj&lt;ex1$S$989edae4fcf64d6258192c03cb50191670dce7d4090a568c3b7b0292bf4332a2e&gt;</v>
      </c>
      <c r="T9" t="str" cm="1">
        <f t="array" ref="T9">mpl_add_line_unique($Q$3,R9,S9,Q9, U9, W9,1.2)</f>
        <v>PyObj&lt;ex1$T$9b233ac5c9ef4850fb5f0f0959f357b3e9044493a952f895c7365968f991f3867&gt;</v>
      </c>
      <c r="U9" s="9" t="s">
        <v>25</v>
      </c>
      <c r="W9" t="str" cm="1">
        <f t="array" ref="W9">pygetitem($AA$7, X9)</f>
        <v>PyObj&lt;ex1$W$9c064527bf874deee129a865854224ac78509fa15f6cfd6e2d140bae08494c354&gt;_0</v>
      </c>
      <c r="X9">
        <v>3</v>
      </c>
      <c r="Y9" s="6" t="str" cm="1">
        <f t="array" ref="Y9">visualise_color(pymul(W9, 255))</f>
        <v>[214.  39.  40.]</v>
      </c>
    </row>
    <row r="10" spans="1:28" x14ac:dyDescent="0.25">
      <c r="D10" t="s">
        <v>23</v>
      </c>
      <c r="E10" t="str" cm="1">
        <f t="array" ref="E10">get_stock_prices(D10,$E$3)</f>
        <v>PyObj&lt;ex1$E$1075aa16ab1541dc197ad1b37fd02687c3d9262f1c04ce4bea635f9133844fa025&gt;</v>
      </c>
      <c r="F10" t="str" cm="1">
        <f t="array" ref="F10">pygetattr(E10, "Date")</f>
        <v>PyObj&lt;ex1$F$107d011af15053e10f3041438d9c14cada69e340e4853287ac097d06b36a76a322&gt;</v>
      </c>
      <c r="G10" t="str" cm="1">
        <f t="array" ref="G10">pygetattr(E10, "Close")</f>
        <v>PyObj&lt;ex1$G$10b2a11f69921ba8fd3cafb08598c811c9aacbf663bb8b9adb870ce9bf67fea70e&gt;</v>
      </c>
      <c r="H10" t="str" cm="1">
        <f t="array" ref="H10">pygetattr(G10, D10)</f>
        <v>PyObj&lt;ex1$H$108ad72f0292b587e24961c259fa0b54e4802eb63ba79c70fee547ae4d847a9f11&gt;</v>
      </c>
      <c r="I10" s="9" cm="1">
        <f t="array" ref="I10">pygetitem(H10,0)</f>
        <v>10.096470832824707</v>
      </c>
      <c r="J10" t="str" cm="1">
        <f t="array" ref="J10">pydiv(H10, I10)</f>
        <v>PyObj&lt;ex1$J$10853e08a5479fe5d49bb2a6ba206bdbbfc4899bb72d50e2d4d0b208c2831fe95f&gt;</v>
      </c>
      <c r="K10" t="str" cm="1">
        <f t="array" ref="K10">pytype(J10)</f>
        <v>&lt;class 'pandas.core.series.Series'&gt;</v>
      </c>
      <c r="Q10" t="str">
        <f t="shared" si="0"/>
        <v>NVDA</v>
      </c>
      <c r="R10" t="str">
        <f t="shared" si="1"/>
        <v>PyObj&lt;ex1$F$107d011af15053e10f3041438d9c14cada69e340e4853287ac097d06b36a76a322&gt;</v>
      </c>
      <c r="S10" t="str" cm="1">
        <f t="array" ref="S10">pydiv(H10, pygetitem(H10,0))</f>
        <v>PyObj&lt;ex1$S$10853e08a5479fe5d49bb2a6ba206bdbbfc4899bb72d50e2d4d0b208c2831fe95f&gt;</v>
      </c>
      <c r="T10" t="str" cm="1">
        <f t="array" ref="T10">mpl_add_line_unique($Q$3,R10,S10,Q10, U10, W10,1.2)</f>
        <v>PyObj&lt;ex1$T$10bbf7a7b968600cd8ea2da37cd25ced5c71325e67844cfc5b1dd1027b9fb40a6e&gt;</v>
      </c>
      <c r="U10" s="9" t="s">
        <v>25</v>
      </c>
      <c r="W10" t="str" cm="1">
        <f t="array" ref="W10">pygetitem($AA$7, X10)</f>
        <v>PyObj&lt;ex1$W$101e8ec881671dfcaccfcee3ae56ecc781e62d6bec891a1daaf90650d452d5b11e&gt;_0</v>
      </c>
      <c r="X10">
        <v>4</v>
      </c>
      <c r="Y10" s="2" t="str" cm="1">
        <f t="array" ref="Y10">visualise_color(pymul(W10, 255))</f>
        <v>[148. 103. 189.]</v>
      </c>
    </row>
    <row r="11" spans="1:28" x14ac:dyDescent="0.25">
      <c r="A11" s="9"/>
      <c r="D11" t="s">
        <v>9</v>
      </c>
      <c r="E11" t="str" cm="1">
        <f t="array" ref="E11">get_stock_prices(D11,$E$3)</f>
        <v>PyObj&lt;ex1$E$11744f4ab10e1b40dcae218071910ff5ec0bf1eadeaab905b59517e786e6e74549&gt;</v>
      </c>
      <c r="F11" t="str" cm="1">
        <f t="array" ref="F11">pygetattr(E11, "Date")</f>
        <v>PyObj&lt;ex1$F$11bccccacefeab949df8054f7fdc2b9651c8ebcf83d3de8a20c4a828e505a0e95f&gt;</v>
      </c>
      <c r="G11" t="str" cm="1">
        <f t="array" ref="G11">pygetattr(E11, "Close")</f>
        <v>PyObj&lt;ex1$G$119d94721c3455e0db59fb615c754d91f075280cf7b99b787f53787094c2c21d4d&gt;</v>
      </c>
      <c r="H11" t="str" cm="1">
        <f t="array" ref="H11">pygetattr(G11, D11)</f>
        <v>PyObj&lt;ex1$H$111f763d9a7aaffb79aaeb9d491740c6666a7cf2548e8a966366de299d86e0568c&gt;</v>
      </c>
      <c r="I11" s="9" cm="1">
        <f t="array" ref="I11">pygetitem(H11,0)</f>
        <v>100.87133026123047</v>
      </c>
      <c r="J11" t="str" cm="1">
        <f t="array" ref="J11">pydiv(H11, I11)</f>
        <v>PyObj&lt;ex1$J$11753ab45c2122e66ca3a9c07488415a1e86639519469baaf4659993a9b8444525&gt;</v>
      </c>
      <c r="K11" t="str" cm="1">
        <f t="array" ref="K11">pytype(J11)</f>
        <v>&lt;class 'pandas.core.series.Series'&gt;</v>
      </c>
      <c r="Q11" t="str">
        <f t="shared" si="0"/>
        <v>TSLA</v>
      </c>
      <c r="R11" t="str">
        <f t="shared" si="1"/>
        <v>PyObj&lt;ex1$F$11bccccacefeab949df8054f7fdc2b9651c8ebcf83d3de8a20c4a828e505a0e95f&gt;</v>
      </c>
      <c r="S11" t="str" cm="1">
        <f t="array" ref="S11">pydiv(H11, pygetitem(H11,0))</f>
        <v>PyObj&lt;ex1$S$11753ab45c2122e66ca3a9c07488415a1e86639519469baaf4659993a9b8444525&gt;</v>
      </c>
      <c r="T11" t="str" cm="1">
        <f t="array" ref="T11">mpl_add_line_unique($Q$3,R11,S11,Q11, U11, W11,1.2)</f>
        <v>PyObj&lt;ex1$T$117fabfd586699574212dc0992cfee54e7a24a36c86d609a94dd25b8137dd028a5&gt;</v>
      </c>
      <c r="U11" s="9" t="s">
        <v>25</v>
      </c>
      <c r="W11" t="str" cm="1">
        <f t="array" ref="W11">pygetitem($AA$7, X11)</f>
        <v>PyObj&lt;ex1$W$116c8e3119fd2a31d7c663b4ff7fd8d0a672b31310649c86d59b20f9b55a467ab6&gt;_0</v>
      </c>
      <c r="X11">
        <v>5</v>
      </c>
      <c r="Y11" s="5" t="str" cm="1">
        <f t="array" ref="Y11">visualise_color(pymul(W11, 255))</f>
        <v>[140.  86.  75.]</v>
      </c>
    </row>
    <row r="12" spans="1:28" x14ac:dyDescent="0.25">
      <c r="A12" s="9"/>
      <c r="D12" t="s">
        <v>24</v>
      </c>
      <c r="E12" t="str" cm="1">
        <f t="array" ref="E12">get_stock_prices(D12,$E$3)</f>
        <v>PyObj&lt;ex1$E$121a0005837c7fbd8e2cf06d8258513ff9b27dcbb37ec4659d43466e2256e7ecd0&gt;</v>
      </c>
      <c r="F12" t="str" cm="1">
        <f t="array" ref="F12">pygetattr(E12, "Date")</f>
        <v>PyObj&lt;ex1$F$12da8f5d86fcccd878ac6a1cdc41fa74c0c5b2996e4cce4a34056c61f72188dbe1&gt;</v>
      </c>
      <c r="G12" t="str" cm="1">
        <f t="array" ref="G12">pygetattr(E12, "Close")</f>
        <v>PyObj&lt;ex1$G$12b7ed8b967a8fcc8f6b899aa3eb7fc00a96d94dd7c6ae20c19ad2c01a73ccd3f3&gt;</v>
      </c>
      <c r="H12" t="str" cm="1">
        <f t="array" ref="H12">pygetattr(G12, D12)</f>
        <v>PyObj&lt;ex1$H$12c40f9e87b055e87a3f01649b6420ce6cf1d5bfca1e54f5a64005e091c5824a14&gt;</v>
      </c>
      <c r="I12" s="9" cm="1">
        <f t="array" ref="I12">pygetitem(H12,0)</f>
        <v>231.33090209960938</v>
      </c>
      <c r="J12" t="str" cm="1">
        <f t="array" ref="J12">pydiv(H12, I12)</f>
        <v>PyObj&lt;ex1$J$12eabd24cc823a866c9ccf7469724bba4601562c4d089d7fcb36ecb22c30951e6f&gt;</v>
      </c>
      <c r="K12" t="str" cm="1">
        <f t="array" ref="K12">pytype(J12)</f>
        <v>&lt;class 'pandas.core.series.Series'&gt;</v>
      </c>
      <c r="Q12" t="str">
        <f t="shared" si="0"/>
        <v>META</v>
      </c>
      <c r="R12" t="str">
        <f t="shared" si="1"/>
        <v>PyObj&lt;ex1$F$12da8f5d86fcccd878ac6a1cdc41fa74c0c5b2996e4cce4a34056c61f72188dbe1&gt;</v>
      </c>
      <c r="S12" t="str" cm="1">
        <f t="array" ref="S12">pydiv(H12, pygetitem(H12,0))</f>
        <v>PyObj&lt;ex1$S$12eabd24cc823a866c9ccf7469724bba4601562c4d089d7fcb36ecb22c30951e6f&gt;</v>
      </c>
      <c r="T12" t="str" cm="1">
        <f t="array" ref="T12">mpl_add_line_unique($Q$3,R12,S12,Q12, U12, W12,1.2)</f>
        <v>PyObj&lt;ex1$T$1206e0d5fc2a6401a2ce3971c8e3fc3425be1205511091f8c281cee995246ecff2&gt;</v>
      </c>
      <c r="U12" s="9" t="s">
        <v>25</v>
      </c>
      <c r="W12" t="str" cm="1">
        <f t="array" ref="W12">pygetitem($AA$7, X12)</f>
        <v>PyObj&lt;ex1$W$1299795d7e367b278317936f6cb96d628fbfdba432005bc97446bf099c53ad21e7&gt;_0</v>
      </c>
      <c r="X12">
        <v>6</v>
      </c>
      <c r="Y12" s="4" t="str" cm="1">
        <f t="array" ref="Y12">visualise_color(pymul(W12, 255))</f>
        <v>[227. 119. 194.]</v>
      </c>
    </row>
    <row r="13" spans="1:28" x14ac:dyDescent="0.25">
      <c r="A13" s="9"/>
      <c r="D13" t="s">
        <v>28</v>
      </c>
      <c r="E13" t="str" cm="1">
        <f t="array" ref="E13">get_stock_prices(D13,$E$3)</f>
        <v>PyObj&lt;ex1$E$13387d3f2444b9c58880d1743cae12a9d40f62d007b419af412618bac14c8f5988&gt;</v>
      </c>
      <c r="F13" t="str" cm="1">
        <f t="array" ref="F13">pygetattr(E13, "Date")</f>
        <v>PyObj&lt;ex1$F$13b59486f4c2574cefc0aad5ee1f3d8bc69a72b2738d816542fc517cd47c500913&gt;</v>
      </c>
      <c r="G13" t="str" cm="1">
        <f t="array" ref="G13">pygetattr(E13, "Close")</f>
        <v>PyObj&lt;ex1$G$133ba70a297fa39b33d57b52d4d3a6fe3a835e0430dd1a257928751d940811bcb2&gt;</v>
      </c>
      <c r="H13" t="str" cm="1">
        <f t="array" ref="H13">pygetattr(G13, D13)</f>
        <v>PyObj&lt;ex1$H$1388af95ed771e8c836d39687b59fae8c5ca1472c8af79567352092acbcc5ac540&gt;</v>
      </c>
      <c r="I13" s="9" cm="1">
        <f t="array" ref="I13">pygetitem(H13,0)</f>
        <v>477.57998657226563</v>
      </c>
      <c r="J13" t="str" cm="1">
        <f t="array" ref="J13">pydiv(H13, I13)</f>
        <v>PyObj&lt;ex1$J$132311831d5bc721e695b3ac12b874e616e4825e9c548b08afae32cc112ee298c5&gt;</v>
      </c>
      <c r="K13" t="str" cm="1">
        <f t="array" ref="K13">pytype(J13)</f>
        <v>&lt;class 'pandas.core.series.Series'&gt;</v>
      </c>
      <c r="Q13" t="str">
        <f t="shared" si="0"/>
        <v>NFLX</v>
      </c>
      <c r="R13" t="str">
        <f t="shared" si="1"/>
        <v>PyObj&lt;ex1$F$13b59486f4c2574cefc0aad5ee1f3d8bc69a72b2738d816542fc517cd47c500913&gt;</v>
      </c>
      <c r="S13" t="str" cm="1">
        <f t="array" ref="S13">pydiv(H13, pygetitem(H13,0))</f>
        <v>PyObj&lt;ex1$S$132311831d5bc721e695b3ac12b874e616e4825e9c548b08afae32cc112ee298c5&gt;</v>
      </c>
      <c r="T13" t="str" cm="1">
        <f t="array" ref="T13">mpl_add_line_unique($Q$3,R13,S13,Q13, U13, W13,1.2)</f>
        <v>PyObj&lt;ex1$T$13c04bebd81e5f67bd533a378622b624a9002e344c0fa5a10de49e6b04835a183d&gt;</v>
      </c>
      <c r="U13" s="9" t="s">
        <v>25</v>
      </c>
      <c r="W13" t="str" cm="1">
        <f t="array" ref="W13">pygetitem($AA$7, X13)</f>
        <v>PyObj&lt;ex1$W$13ed1156d890f9da46f083c0130b0e5ebc1762120148b6015386de04ae94995ef4&gt;_0</v>
      </c>
      <c r="X13">
        <v>7</v>
      </c>
      <c r="Y13" s="11" t="str" cm="1">
        <f t="array" ref="Y13">visualise_color(pymul(W13, 255))</f>
        <v>[127. 127. 127.]</v>
      </c>
    </row>
    <row r="14" spans="1:28" x14ac:dyDescent="0.25">
      <c r="A14" s="9"/>
      <c r="D14" t="s">
        <v>29</v>
      </c>
      <c r="E14" t="str" cm="1">
        <f t="array" ref="E14">get_stock_prices(D14,$E$3)</f>
        <v>PyObj&lt;ex1$E$14e2228d1d5d12b82c5833f63e076c23398965523b7c189ae185bba3ab8430b846&gt;</v>
      </c>
      <c r="F14" t="str" cm="1">
        <f t="array" ref="F14">pygetattr(E14, "Date")</f>
        <v>PyObj&lt;ex1$F$14917d98bd2b19f6a2da52e94dc43e4106fc221c45af942faae3defbfc74895064&gt;</v>
      </c>
      <c r="G14" t="str" cm="1">
        <f t="array" ref="G14">pygetattr(E14, "Close")</f>
        <v>PyObj&lt;ex1$G$14ffeb25185dcec71686eb647c4b61b83ac065f47cb129ea83d3ef650d4f343bc5&gt;</v>
      </c>
      <c r="H14" t="str" cm="1">
        <f t="array" ref="H14">pygetattr(G14, D14)</f>
        <v>PyObj&lt;ex1$H$14e1d746717ff08e3a22b5964c6275dc6d5527665d073ea0d30cad6e424dc25f2f&gt;</v>
      </c>
      <c r="I14" s="9" cm="1">
        <f t="array" ref="I14">pygetitem(H14,0)</f>
        <v>59.569999694824219</v>
      </c>
      <c r="J14" t="str" cm="1">
        <f t="array" ref="J14">pydiv(H14, I14)</f>
        <v>PyObj&lt;ex1$J$1454529511b8ce989a19244a420dc75c5632b3cba3adb23b2154f717ff483f3ca8&gt;</v>
      </c>
      <c r="K14" t="str" cm="1">
        <f t="array" ref="K14">pytype(J14)</f>
        <v>&lt;class 'pandas.core.series.Series'&gt;</v>
      </c>
      <c r="Q14" t="str">
        <f t="shared" si="0"/>
        <v>AMD</v>
      </c>
      <c r="R14" t="str">
        <f t="shared" si="1"/>
        <v>PyObj&lt;ex1$F$14917d98bd2b19f6a2da52e94dc43e4106fc221c45af942faae3defbfc74895064&gt;</v>
      </c>
      <c r="S14" t="str" cm="1">
        <f t="array" ref="S14">pydiv(H14, pygetitem(H14,0))</f>
        <v>PyObj&lt;ex1$S$1454529511b8ce989a19244a420dc75c5632b3cba3adb23b2154f717ff483f3ca8&gt;</v>
      </c>
      <c r="T14" t="str" cm="1">
        <f t="array" ref="T14">mpl_add_line_unique($Q$3,R14,S14,Q14, U14, W14,1.2)</f>
        <v>PyObj&lt;ex1$T$145b3739f3c0a036105fef61acc8ad41b455352e433ed3cbc96aadfe3e83df58cc&gt;</v>
      </c>
      <c r="U14" s="9" t="s">
        <v>25</v>
      </c>
      <c r="W14" t="str" cm="1">
        <f t="array" ref="W14">pygetitem($AA$7, X14)</f>
        <v>PyObj&lt;ex1$W$14c3c4e483ec9e52bc43dee1665dc97ab027915500156033298badc0c97e96c3b6&gt;_0</v>
      </c>
      <c r="X14">
        <v>8</v>
      </c>
      <c r="Y14" s="13" t="str" cm="1">
        <f t="array" ref="Y14">visualise_color(pymul(W14, 255))</f>
        <v>[188. 189.  34.]</v>
      </c>
    </row>
    <row r="15" spans="1:28" x14ac:dyDescent="0.25">
      <c r="A15" s="9"/>
      <c r="D15" t="s">
        <v>30</v>
      </c>
      <c r="E15" t="str" cm="1">
        <f t="array" ref="E15">get_stock_prices(D15,$E$3)</f>
        <v>PyObj&lt;ex1$E$151836c541d70e98760868988b17a39de56a75f51434dd41907ab618e8c189a0c1&gt;</v>
      </c>
      <c r="F15" t="str" cm="1">
        <f t="array" ref="F15">pygetattr(E15, "Date")</f>
        <v>PyObj&lt;ex1$F$157d4e510215bf3afb451d628539c1a314d7b6a09aa2adb524e7e09ae80e398117&gt;</v>
      </c>
      <c r="G15" t="str" cm="1">
        <f t="array" ref="G15">pygetattr(E15, "Close")</f>
        <v>PyObj&lt;ex1$G$15f94f9f12c499906402d3d97909594ef9014592dbc282d32db151e7b118c87918&gt;</v>
      </c>
      <c r="H15" t="str" cm="1">
        <f t="array" ref="H15">pygetattr(G15, D15)</f>
        <v>PyObj&lt;ex1$H$155666726345796f4deb534b2bf3b385a9fa6f61ff14664f6dd2224a35af1c8baf&gt;</v>
      </c>
      <c r="I15" s="9" cm="1">
        <f t="array" ref="I15">pygetitem(H15,0)</f>
        <v>53.843166351318359</v>
      </c>
      <c r="J15" t="str" cm="1">
        <f t="array" ref="J15">pydiv(H15, I15)</f>
        <v>PyObj&lt;ex1$J$15a196e0ae4333d7b514334e64af1c21dbaef51ff23b2ab4a38ab4ddc73fa80aaa&gt;</v>
      </c>
      <c r="K15" t="str" cm="1">
        <f t="array" ref="K15">pytype(J15)</f>
        <v>&lt;class 'pandas.core.series.Series'&gt;</v>
      </c>
      <c r="Q15" t="str">
        <f t="shared" si="0"/>
        <v>INTC</v>
      </c>
      <c r="R15" t="str">
        <f t="shared" si="1"/>
        <v>PyObj&lt;ex1$F$157d4e510215bf3afb451d628539c1a314d7b6a09aa2adb524e7e09ae80e398117&gt;</v>
      </c>
      <c r="S15" t="str" cm="1">
        <f t="array" ref="S15">pydiv(H15, pygetitem(H15,0))</f>
        <v>PyObj&lt;ex1$S$15a196e0ae4333d7b514334e64af1c21dbaef51ff23b2ab4a38ab4ddc73fa80aaa&gt;</v>
      </c>
      <c r="T15" t="str" cm="1">
        <f t="array" ref="T15">mpl_add_line_unique($Q$3,R15,S15,Q15, U15, W15,1.2)</f>
        <v>PyObj&lt;ex1$T$151dc791e04c2c2b7d8fdf2a4088942345f37668d10fee320c27b5853c15f4163f&gt;</v>
      </c>
      <c r="U15" s="9" t="s">
        <v>25</v>
      </c>
      <c r="W15" t="str" cm="1">
        <f t="array" ref="W15">pygetitem($AA$7, X15)</f>
        <v>PyObj&lt;ex1$W$15a7459bde3f11791daa679ff7798482af47947036adfb3f4622d2ea58aac461bf&gt;_0</v>
      </c>
      <c r="X15">
        <v>9</v>
      </c>
      <c r="Y15" s="12" t="str" cm="1">
        <f t="array" ref="Y15">visualise_color(pymul(W15, 255))</f>
        <v>[ 23. 190. 207.]</v>
      </c>
    </row>
    <row r="16" spans="1:28" x14ac:dyDescent="0.25">
      <c r="A16" s="9"/>
      <c r="D16" t="s">
        <v>31</v>
      </c>
      <c r="E16" t="str" cm="1">
        <f t="array" ref="E16">get_stock_prices(D16,$E$3)</f>
        <v>PyObj&lt;ex1$E$1693b92fed86a69eb15d842a9b6d09425625d4e67916f5f4c78aeb4b6d7fc87787&gt;</v>
      </c>
      <c r="F16" t="str" cm="1">
        <f t="array" ref="F16">pygetattr(E16, "Date")</f>
        <v>PyObj&lt;ex1$F$16b5296baa2f845f48815f5c9783579c70e1891dd5a6cdad21ec1029fec3bab847&gt;</v>
      </c>
      <c r="G16" t="str" cm="1">
        <f t="array" ref="G16">pygetattr(E16, "Close")</f>
        <v>PyObj&lt;ex1$G$168869f31a2288faecc29f17c67fe032b617589cfe1d57fdbe341d8c649e723f96&gt;</v>
      </c>
      <c r="H16" t="str" cm="1">
        <f t="array" ref="H16">pygetattr(G16, D16)</f>
        <v>PyObj&lt;ex1$H$16892e9348f0c11a2ce1e8b37ba793799712002b37b359ef95495cb45d415bd9f6&gt;</v>
      </c>
      <c r="I16" s="9" cm="1">
        <f t="array" ref="I16">pygetitem(H16,0)</f>
        <v>243.25225830078125</v>
      </c>
      <c r="J16" t="str" cm="1">
        <f t="array" ref="J16">pydiv(H16, I16)</f>
        <v>PyObj&lt;ex1$J$16106257d8d4abae3ffc5a3823f1c986695dfad9528af00f8196c82594af81468a&gt;</v>
      </c>
      <c r="K16" t="str" cm="1">
        <f t="array" ref="K16">pytype(J16)</f>
        <v>&lt;class 'pandas.core.series.Series'&gt;</v>
      </c>
      <c r="Q16" t="str">
        <f t="shared" si="0"/>
        <v>BABA</v>
      </c>
      <c r="R16" t="str">
        <f t="shared" si="1"/>
        <v>PyObj&lt;ex1$F$16b5296baa2f845f48815f5c9783579c70e1891dd5a6cdad21ec1029fec3bab847&gt;</v>
      </c>
      <c r="S16" t="str" cm="1">
        <f t="array" ref="S16">pydiv(H16, pygetitem(H16,0))</f>
        <v>PyObj&lt;ex1$S$16106257d8d4abae3ffc5a3823f1c986695dfad9528af00f8196c82594af81468a&gt;</v>
      </c>
      <c r="T16" t="str" cm="1">
        <f t="array" ref="T16">mpl_add_line_unique($Q$3,R16,S16,Q16, U16, W16,1.2)</f>
        <v>PyObj&lt;ex1$T$16614b28f9df70d1334ad69b41ce44e852912c10fd80055bcba90d4da263dde831&gt;</v>
      </c>
      <c r="U16" t="s">
        <v>41</v>
      </c>
      <c r="W16" t="str" cm="1">
        <f t="array" ref="W16">pygetitem($AA$7, X16)</f>
        <v>PyObj&lt;ex1$W$16372eed4edb8e5e946babdf0d18df660c78b7329cfc7c38f23065c95d07e94dfa&gt;_0</v>
      </c>
      <c r="X16">
        <v>0</v>
      </c>
      <c r="Y16" s="3" t="str" cm="1">
        <f t="array" ref="Y16">visualise_color(pymul(W16, 255))</f>
        <v>[ 31. 119. 180.]</v>
      </c>
    </row>
    <row r="17" spans="1:25" x14ac:dyDescent="0.25">
      <c r="A17" s="9"/>
      <c r="D17" t="s">
        <v>32</v>
      </c>
      <c r="E17" t="str" cm="1">
        <f t="array" ref="E17">get_stock_prices(D17,$E$3)</f>
        <v>PyObj&lt;ex1$E$1775f76ab18f963c1f7b002062aa8e5f7ad6cb25da8cfc82a625ce2607180381fa&gt;</v>
      </c>
      <c r="F17" t="str" cm="1">
        <f t="array" ref="F17">pygetattr(E17, "Date")</f>
        <v>PyObj&lt;ex1$F$17b1b79ddf6baa9b1ad565ee4a3ef6b05d9271ac35564e80ef5a2209e207dff262&gt;</v>
      </c>
      <c r="G17" t="str" cm="1">
        <f t="array" ref="G17">pygetattr(E17, "Close")</f>
        <v>PyObj&lt;ex1$G$179aabb02cd99781d68c3c821151985b901c7c936edb19d562ea9f8f8f927baa8b&gt;</v>
      </c>
      <c r="H17" t="str" cm="1">
        <f t="array" ref="H17">pygetattr(G17, D17)</f>
        <v>PyObj&lt;ex1$H$17035aec99cc6e6ed1afc899edb6958924cb3c4ad8cb046b7144400b8686467938&gt;</v>
      </c>
      <c r="I17" s="9" cm="1">
        <f t="array" ref="I17">pygetitem(H17,0)</f>
        <v>186.90226745605469</v>
      </c>
      <c r="J17" t="str" cm="1">
        <f t="array" ref="J17">pydiv(H17, I17)</f>
        <v>PyObj&lt;ex1$J$175570d1d14fb559445cd08f929b9170b653df703ca39900c5eb749e5c9c3d8183&gt;</v>
      </c>
      <c r="K17" t="str" cm="1">
        <f t="array" ref="K17">pytype(J17)</f>
        <v>&lt;class 'pandas.core.series.Series'&gt;</v>
      </c>
      <c r="Q17" t="str">
        <f t="shared" si="0"/>
        <v>CRM</v>
      </c>
      <c r="R17" t="str">
        <f t="shared" si="1"/>
        <v>PyObj&lt;ex1$F$17b1b79ddf6baa9b1ad565ee4a3ef6b05d9271ac35564e80ef5a2209e207dff262&gt;</v>
      </c>
      <c r="S17" t="str" cm="1">
        <f t="array" ref="S17">pydiv(H17, pygetitem(H17,0))</f>
        <v>PyObj&lt;ex1$S$175570d1d14fb559445cd08f929b9170b653df703ca39900c5eb749e5c9c3d8183&gt;</v>
      </c>
      <c r="T17" t="str" cm="1">
        <f t="array" ref="T17">mpl_add_line_unique($Q$3,R17,S17,Q17, U17, W17,1.2)</f>
        <v>PyObj&lt;ex1$T$171e4578f92d2df3c1da92ed7a9236b8c7e3fe931a97761ee6c6206cd86fd2809a&gt;</v>
      </c>
      <c r="U17" t="s">
        <v>41</v>
      </c>
      <c r="W17" t="str" cm="1">
        <f t="array" ref="W17">pygetitem($AA$7, X17)</f>
        <v>PyObj&lt;ex1$W$177ee01c1fce27ae26319f696aa9518185da5d89bae52e86e5e1670f807c17ca9e&gt;_0</v>
      </c>
      <c r="X17">
        <v>1</v>
      </c>
      <c r="Y17" s="8" t="str" cm="1">
        <f t="array" ref="Y17">visualise_color(pymul(W17, 255))</f>
        <v>[255. 127.  14.]</v>
      </c>
    </row>
    <row r="18" spans="1:25" x14ac:dyDescent="0.25">
      <c r="A18" s="9"/>
      <c r="D18" t="s">
        <v>33</v>
      </c>
      <c r="E18" t="str" cm="1">
        <f t="array" ref="E18">get_stock_prices(D18,$E$3)</f>
        <v>PyObj&lt;ex1$E$18fa820e7f1dc9e14bfc8ff15bd55014e16d6e98b8988ba7eaa37edce560e3a1f1&gt;</v>
      </c>
      <c r="F18" t="str" cm="1">
        <f t="array" ref="F18">pygetattr(E18, "Date")</f>
        <v>PyObj&lt;ex1$F$18a699859bc6204f5993125d139f45c10d781ff5d36825ece783b3efbbdeb21e89&gt;</v>
      </c>
      <c r="G18" t="str" cm="1">
        <f t="array" ref="G18">pygetattr(E18, "Close")</f>
        <v>PyObj&lt;ex1$G$1852be1b186c22758562dab69bc00387ce0566771a52bcc7f1c735871db6ae4ae3&gt;</v>
      </c>
      <c r="H18" t="str" cm="1">
        <f t="array" ref="H18">pygetattr(G18, D18)</f>
        <v>PyObj&lt;ex1$H$189f84254a33e58333c6ea2b8a2601e412f253eaf16fac65dc658ed5c534a67299&gt;</v>
      </c>
      <c r="I18" s="9" cm="1">
        <f t="array" ref="I18">pygetitem(H18,0)</f>
        <v>431.739990234375</v>
      </c>
      <c r="J18" t="str" cm="1">
        <f t="array" ref="J18">pydiv(H18, I18)</f>
        <v>PyObj&lt;ex1$J$183b27f9e7a920f7f20f969eacf276667248c0f3714abc5a8a3cc29666e6c40dc7&gt;</v>
      </c>
      <c r="K18" t="str" cm="1">
        <f t="array" ref="K18">pytype(J18)</f>
        <v>&lt;class 'pandas.core.series.Series'&gt;</v>
      </c>
      <c r="Q18" t="str">
        <f t="shared" si="0"/>
        <v>ADBE</v>
      </c>
      <c r="R18" t="str">
        <f t="shared" si="1"/>
        <v>PyObj&lt;ex1$F$18a699859bc6204f5993125d139f45c10d781ff5d36825ece783b3efbbdeb21e89&gt;</v>
      </c>
      <c r="S18" t="str" cm="1">
        <f t="array" ref="S18">pydiv(H18, pygetitem(H18,0))</f>
        <v>PyObj&lt;ex1$S$183b27f9e7a920f7f20f969eacf276667248c0f3714abc5a8a3cc29666e6c40dc7&gt;</v>
      </c>
      <c r="T18" t="str" cm="1">
        <f t="array" ref="T18">mpl_add_line_unique($Q$3,R18,S18,Q18, U18, W18,1.2)</f>
        <v>PyObj&lt;ex1$T$18104c32783fdb379b774e29f8ba53c5095bfb1bd89843428fe2ac3bf2800d68a9&gt;</v>
      </c>
      <c r="U18" t="s">
        <v>41</v>
      </c>
      <c r="W18" t="str" cm="1">
        <f t="array" ref="W18">pygetitem($AA$7, X18)</f>
        <v>PyObj&lt;ex1$W$1893f41f94b2e7fefdd25d841e21442abfbc3a766cf9771abdc0ea45d6bea14cd5&gt;_0</v>
      </c>
      <c r="X18">
        <v>2</v>
      </c>
      <c r="Y18" s="7" t="str" cm="1">
        <f t="array" ref="Y18">visualise_color(pymul(W18, 255))</f>
        <v>[ 44. 160.  44.]</v>
      </c>
    </row>
    <row r="19" spans="1:25" x14ac:dyDescent="0.25">
      <c r="A19" s="9"/>
      <c r="D19" t="s">
        <v>34</v>
      </c>
      <c r="E19" t="str" cm="1">
        <f t="array" ref="E19">get_stock_prices(D19,$E$3)</f>
        <v>PyObj&lt;ex1$E$191ae5c0a7666581299a5415500adfb218b2814a81d05df890090f000bbf6d55fe&gt;</v>
      </c>
      <c r="F19" t="str" cm="1">
        <f t="array" ref="F19">pygetattr(E19, "Date")</f>
        <v>PyObj&lt;ex1$F$191183a021061ee0119ff1b5df77e2a211e585e04d8558df98852bfd4bcca4cb48&gt;</v>
      </c>
      <c r="G19" t="str" cm="1">
        <f t="array" ref="G19">pygetattr(E19, "Close")</f>
        <v>PyObj&lt;ex1$G$198df2c1c449fce10940b9685d4a35ab70e452aa7e3488ea6120eee1972c529742&gt;</v>
      </c>
      <c r="H19" t="str" cm="1">
        <f t="array" ref="H19">pygetattr(G19, D19)</f>
        <v>PyObj&lt;ex1$H$1993dac2535278a3ad969460e1a46a445be80e61d5bd16b1bce8c1e3b04d897e47&gt;</v>
      </c>
      <c r="I19" s="9" cm="1">
        <f t="array" ref="I19">pygetitem(H19,0)</f>
        <v>52.000293731689453</v>
      </c>
      <c r="J19" t="str" cm="1">
        <f t="array" ref="J19">pydiv(H19, I19)</f>
        <v>PyObj&lt;ex1$J$196e4f489ca45ac369241638b96e9178cfb6c6d78fe6eed8d33dcb041dc7c69ed3&gt;</v>
      </c>
      <c r="K19" t="str" cm="1">
        <f t="array" ref="K19">pytype(J19)</f>
        <v>&lt;class 'pandas.core.series.Series'&gt;</v>
      </c>
      <c r="Q19" t="str">
        <f t="shared" si="0"/>
        <v>ORCL</v>
      </c>
      <c r="R19" t="str">
        <f t="shared" si="1"/>
        <v>PyObj&lt;ex1$F$191183a021061ee0119ff1b5df77e2a211e585e04d8558df98852bfd4bcca4cb48&gt;</v>
      </c>
      <c r="S19" t="str" cm="1">
        <f t="array" ref="S19">pydiv(H19, pygetitem(H19,0))</f>
        <v>PyObj&lt;ex1$S$196e4f489ca45ac369241638b96e9178cfb6c6d78fe6eed8d33dcb041dc7c69ed3&gt;</v>
      </c>
      <c r="T19" t="str" cm="1">
        <f t="array" ref="T19">mpl_add_line_unique($Q$3,R19,S19,Q19, U19, W19,1.2)</f>
        <v>PyObj&lt;ex1$T$191619bb98767b9727d2575d11929bc5615deb7d1de03bd382be9933036881c413&gt;</v>
      </c>
      <c r="U19" t="s">
        <v>41</v>
      </c>
      <c r="W19" t="str" cm="1">
        <f t="array" ref="W19">pygetitem($AA$7, X19)</f>
        <v>PyObj&lt;ex1$W$19c064527bf874deee129a865854224ac78509fa15f6cfd6e2d140bae08494c354&gt;_0</v>
      </c>
      <c r="X19">
        <v>3</v>
      </c>
      <c r="Y19" s="6" t="str" cm="1">
        <f t="array" ref="Y19">visualise_color(pymul(W19, 255))</f>
        <v>[214.  39.  40.]</v>
      </c>
    </row>
    <row r="20" spans="1:25" x14ac:dyDescent="0.25">
      <c r="A20" s="9"/>
      <c r="D20" t="s">
        <v>35</v>
      </c>
      <c r="E20" t="str" cm="1">
        <f t="array" ref="E20">get_stock_prices(D20,$E$3)</f>
        <v>PyObj&lt;ex1$E$20d1eae38f9bcca034591608b19a38c4287d0d9c46e568d1798ad0570135a3e92c&gt;</v>
      </c>
      <c r="F20" t="str" cm="1">
        <f t="array" ref="F20">pygetattr(E20, "Date")</f>
        <v>PyObj&lt;ex1$F$2007ec472811b42e2110e5a6eda274621a40d25bf8987426cfb55bc2e8418f522b&gt;</v>
      </c>
      <c r="G20" t="str" cm="1">
        <f t="array" ref="G20">pygetattr(E20, "Close")</f>
        <v>PyObj&lt;ex1$G$20556a741cc322b01fec9a6ee448d001dd5651ca4b8e78af14d5dff314decda03a&gt;</v>
      </c>
      <c r="H20" t="str" cm="1">
        <f t="array" ref="H20">pygetattr(G20, D20)</f>
        <v>PyObj&lt;ex1$H$2063de131308f6952515a547701eb64de793ddec72499a2a2e1e04c560cead6d8a&gt;</v>
      </c>
      <c r="I20" s="9" cm="1">
        <f t="array" ref="I20">pygetitem(H20,0)</f>
        <v>173.86000061035156</v>
      </c>
      <c r="J20" t="str" cm="1">
        <f t="array" ref="J20">pydiv(H20, I20)</f>
        <v>PyObj&lt;ex1$J$20bd59f01056aef6fafc7e6d353dee4db4b140fe27f7f6fade60b72bdd31df94ce&gt;</v>
      </c>
      <c r="K20" t="str" cm="1">
        <f t="array" ref="K20">pytype(J20)</f>
        <v>&lt;class 'pandas.core.series.Series'&gt;</v>
      </c>
      <c r="Q20" t="str">
        <f t="shared" si="0"/>
        <v>PYPL</v>
      </c>
      <c r="R20" t="str">
        <f t="shared" si="1"/>
        <v>PyObj&lt;ex1$F$2007ec472811b42e2110e5a6eda274621a40d25bf8987426cfb55bc2e8418f522b&gt;</v>
      </c>
      <c r="S20" t="str" cm="1">
        <f t="array" ref="S20">pydiv(H20, pygetitem(H20,0))</f>
        <v>PyObj&lt;ex1$S$20bd59f01056aef6fafc7e6d353dee4db4b140fe27f7f6fade60b72bdd31df94ce&gt;</v>
      </c>
      <c r="T20" t="str" cm="1">
        <f t="array" ref="T20">mpl_add_line_unique($Q$3,R20,S20,Q20, U20, W20,1.2)</f>
        <v>PyObj&lt;ex1$T$2006312f76c0340675bd38ed007340eac6a17f556b400eb14fd972b643f448da5d&gt;</v>
      </c>
      <c r="U20" t="s">
        <v>41</v>
      </c>
      <c r="W20" t="str" cm="1">
        <f t="array" ref="W20">pygetitem($AA$7, X20)</f>
        <v>PyObj&lt;ex1$W$201e8ec881671dfcaccfcee3ae56ecc781e62d6bec891a1daaf90650d452d5b11e&gt;_0</v>
      </c>
      <c r="X20">
        <v>4</v>
      </c>
      <c r="Y20" s="2" t="str" cm="1">
        <f t="array" ref="Y20">visualise_color(pymul(W20, 255))</f>
        <v>[148. 103. 189.]</v>
      </c>
    </row>
    <row r="21" spans="1:25" x14ac:dyDescent="0.25">
      <c r="A21" s="9"/>
      <c r="D21" t="s">
        <v>36</v>
      </c>
      <c r="E21" t="str" cm="1">
        <f t="array" ref="E21">get_stock_prices(D21,$E$3)</f>
        <v>PyObj&lt;ex1$E$21de8993c1fb1f31edce1475eaf8ce210a4c8a34cd67cebeefc2d6e2f2cdbbf848&gt;</v>
      </c>
      <c r="F21" t="str" cm="1">
        <f t="array" ref="F21">pygetattr(E21, "Date")</f>
        <v>PyObj&lt;ex1$F$21f8bb8ffea83c22ebe4a097b5a2578fbfa9b7fdc991bc0c62f13784c84da5e779&gt;</v>
      </c>
      <c r="G21" t="str" cm="1">
        <f t="array" ref="G21">pygetattr(E21, "Close")</f>
        <v>PyObj&lt;ex1$G$217474ba6f0a1a674771a03c46ebb5c12d59c667fff269bd502891ff187b3a8676&gt;</v>
      </c>
      <c r="H21" t="str" cm="1">
        <f t="array" ref="H21">pygetattr(G21, D21)</f>
        <v>PyObj&lt;ex1$H$211b3d0ad2f1f17259e2cf37e86170c92d4504b5b9093503e7fab25f9ac865cf20&gt;</v>
      </c>
      <c r="I21" s="9" cm="1">
        <f t="array" ref="I21">pygetitem(H21,0)</f>
        <v>92.84100341796875</v>
      </c>
      <c r="J21" t="str" cm="1">
        <f t="array" ref="J21">pydiv(H21, I21)</f>
        <v>PyObj&lt;ex1$J$218bb3989414aa1d56157af92f9866bcfc16aefd811662118c9827adb8a902d207&gt;</v>
      </c>
      <c r="K21" t="str" cm="1">
        <f t="array" ref="K21">pytype(J21)</f>
        <v>&lt;class 'pandas.core.series.Series'&gt;</v>
      </c>
      <c r="Q21" t="str">
        <f t="shared" si="0"/>
        <v>SHOP</v>
      </c>
      <c r="R21" t="str">
        <f t="shared" si="1"/>
        <v>PyObj&lt;ex1$F$21f8bb8ffea83c22ebe4a097b5a2578fbfa9b7fdc991bc0c62f13784c84da5e779&gt;</v>
      </c>
      <c r="S21" t="str" cm="1">
        <f t="array" ref="S21">pydiv(H21, pygetitem(H21,0))</f>
        <v>PyObj&lt;ex1$S$218bb3989414aa1d56157af92f9866bcfc16aefd811662118c9827adb8a902d207&gt;</v>
      </c>
      <c r="T21" t="str" cm="1">
        <f t="array" ref="T21">mpl_add_line_unique($Q$3,R21,S21,Q21, U21, W21,1.2)</f>
        <v>PyObj&lt;ex1$T$21e4e3d1bc9af599a6a0cf3a7f5f16cdd3df9d94e3ba4a3bdbd37c48cb36266d93&gt;</v>
      </c>
      <c r="U21" t="s">
        <v>41</v>
      </c>
      <c r="W21" t="str" cm="1">
        <f t="array" ref="W21">pygetitem($AA$7, X21)</f>
        <v>PyObj&lt;ex1$W$216c8e3119fd2a31d7c663b4ff7fd8d0a672b31310649c86d59b20f9b55a467ab6&gt;_0</v>
      </c>
      <c r="X21">
        <v>5</v>
      </c>
      <c r="Y21" s="5" t="str" cm="1">
        <f t="array" ref="Y21">visualise_color(pymul(W21, 255))</f>
        <v>[140.  86.  75.]</v>
      </c>
    </row>
    <row r="22" spans="1:25" x14ac:dyDescent="0.25">
      <c r="A22" s="9"/>
      <c r="D22" t="s">
        <v>37</v>
      </c>
      <c r="E22" t="str" cm="1">
        <f t="array" ref="E22">get_stock_prices(D22,$E$3)</f>
        <v>PyObj&lt;ex1$E$220bb3ff0736fa63704a832f03b46c71cd3f517ba6dc7cd6234f13f958a20ccfa9&gt;</v>
      </c>
      <c r="F22" t="str" cm="1">
        <f t="array" ref="F22">pygetattr(E22, "Date")</f>
        <v>PyObj&lt;ex1$F$229184d1edf382e94cdbaa37f8ffc6788916d8ac6ab6c760932a50216cf67a65db&gt;</v>
      </c>
      <c r="G22" t="str" cm="1">
        <f t="array" ref="G22">pygetattr(E22, "Close")</f>
        <v>PyObj&lt;ex1$G$22c0be1f333a4bcc513ed627a5700fb2eee528373183f079381ee77713626fcbb7&gt;</v>
      </c>
      <c r="H22" t="str" cm="1">
        <f t="array" ref="H22">pygetattr(G22, D22)</f>
        <v>PyObj&lt;ex1$H$2254635fbcf41868c129898d6bab4c1de7cae31a4fe0f4b930aa63b46646785ce9&gt;</v>
      </c>
      <c r="I22" s="9" cm="1">
        <f t="array" ref="I22">pygetitem(H22,0)</f>
        <v>32.169998168945313</v>
      </c>
      <c r="J22" t="str" cm="1">
        <f t="array" ref="J22">pydiv(H22, I22)</f>
        <v>PyObj&lt;ex1$J$229ae17494b792589474a02d89bac4371a487dd3f79aca1285beb7ab9b64022ba7&gt;</v>
      </c>
      <c r="K22" t="str" cm="1">
        <f t="array" ref="K22">pytype(J22)</f>
        <v>&lt;class 'pandas.core.series.Series'&gt;</v>
      </c>
      <c r="Q22" t="str">
        <f t="shared" si="0"/>
        <v>UBER</v>
      </c>
      <c r="R22" t="str">
        <f t="shared" si="1"/>
        <v>PyObj&lt;ex1$F$229184d1edf382e94cdbaa37f8ffc6788916d8ac6ab6c760932a50216cf67a65db&gt;</v>
      </c>
      <c r="S22" t="str" cm="1">
        <f t="array" ref="S22">pydiv(H22, pygetitem(H22,0))</f>
        <v>PyObj&lt;ex1$S$229ae17494b792589474a02d89bac4371a487dd3f79aca1285beb7ab9b64022ba7&gt;</v>
      </c>
      <c r="T22" t="str" cm="1">
        <f t="array" ref="T22">mpl_add_line_unique($Q$3,R22,S22,Q22, U22, W22,1.2)</f>
        <v>PyObj&lt;ex1$T$2266ec8698dcca499c27f5b514b505fbebc4fa9d417ad51252c6680e0d9bf0e499&gt;</v>
      </c>
      <c r="U22" t="s">
        <v>41</v>
      </c>
      <c r="W22" t="str" cm="1">
        <f t="array" ref="W22">pygetitem($AA$7, X22)</f>
        <v>PyObj&lt;ex1$W$2299795d7e367b278317936f6cb96d628fbfdba432005bc97446bf099c53ad21e7&gt;_0</v>
      </c>
      <c r="X22">
        <v>6</v>
      </c>
      <c r="Y22" s="4" t="str" cm="1">
        <f t="array" ref="Y22">visualise_color(pymul(W22, 255))</f>
        <v>[227. 119. 194.]</v>
      </c>
    </row>
    <row r="23" spans="1:25" x14ac:dyDescent="0.25">
      <c r="A23" s="9"/>
      <c r="D23" t="s">
        <v>38</v>
      </c>
      <c r="E23" t="str" cm="1">
        <f t="array" ref="E23">get_stock_prices(D23,$E$3)</f>
        <v>PyObj&lt;ex1$E$23202162854053e6c825e442833acb4ff28f1a08c48c2aa42d844955689a019759&gt;</v>
      </c>
      <c r="F23" t="str" cm="1">
        <f t="array" ref="F23">pygetattr(E23, "Date")</f>
        <v>PyObj&lt;ex1$F$231ff76cbf1355b69bc9c87f89f9b794451a4ed74148311a6c5d2a5af5f1659178&gt;</v>
      </c>
      <c r="G23" t="str" cm="1">
        <f t="array" ref="G23">pygetattr(E23, "Close")</f>
        <v>PyObj&lt;ex1$G$23dff162fc6294d19adae61c6a6df2223b09f2e4ed8a7e550e09c4dcac4b8aee2a&gt;</v>
      </c>
      <c r="H23" t="str" cm="1">
        <f t="array" ref="H23">pygetattr(G23, D23)</f>
        <v>PyObj&lt;ex1$H$23cce6d3331635b0adfbc218e12c7b0b3cb2d9c1f2ae9aa8248590aa577bbc2a7b&gt;</v>
      </c>
      <c r="I23" s="9" cm="1">
        <f t="array" ref="I23">pygetitem(H23,0)</f>
        <v>30.860000610351563</v>
      </c>
      <c r="J23" t="str" cm="1">
        <f t="array" ref="J23">pydiv(H23, I23)</f>
        <v>PyObj&lt;ex1$J$23757948ef695eb7d6798465e7571bf08f2e9a870f3426cab0088c874bbb93cca4&gt;</v>
      </c>
      <c r="K23" t="str" cm="1">
        <f t="array" ref="K23">pytype(J23)</f>
        <v>&lt;class 'pandas.core.series.Series'&gt;</v>
      </c>
      <c r="Q23" t="str">
        <f t="shared" si="0"/>
        <v>LYFT</v>
      </c>
      <c r="R23" t="str">
        <f t="shared" si="1"/>
        <v>PyObj&lt;ex1$F$231ff76cbf1355b69bc9c87f89f9b794451a4ed74148311a6c5d2a5af5f1659178&gt;</v>
      </c>
      <c r="S23" t="str" cm="1">
        <f t="array" ref="S23">pydiv(H23, pygetitem(H23,0))</f>
        <v>PyObj&lt;ex1$S$23757948ef695eb7d6798465e7571bf08f2e9a870f3426cab0088c874bbb93cca4&gt;</v>
      </c>
      <c r="T23" t="str" cm="1">
        <f t="array" ref="T23">mpl_add_line_unique($Q$3,R23,S23,Q23, U23, W23,1.2)</f>
        <v>PyObj&lt;ex1$T$239b525403a718fd5ff9b760c471d4f2d3a8770a17a63485df497084ff64c34536&gt;</v>
      </c>
      <c r="U23" t="s">
        <v>41</v>
      </c>
      <c r="W23" t="str" cm="1">
        <f t="array" ref="W23">pygetitem($AA$7, X23)</f>
        <v>PyObj&lt;ex1$W$23ed1156d890f9da46f083c0130b0e5ebc1762120148b6015386de04ae94995ef4&gt;_0</v>
      </c>
      <c r="X23">
        <v>7</v>
      </c>
      <c r="Y23" s="11" t="str" cm="1">
        <f t="array" ref="Y23">visualise_color(pymul(W23, 255))</f>
        <v>[127. 127. 127.]</v>
      </c>
    </row>
    <row r="24" spans="1:25" x14ac:dyDescent="0.25">
      <c r="A24" s="9"/>
      <c r="D24" t="s">
        <v>39</v>
      </c>
      <c r="E24" t="str" cm="1">
        <f t="array" ref="E24">get_stock_prices(D24,$E$3)</f>
        <v>PyObj&lt;ex1$E$2427e3a107a8e6f85f16e48add44cceb20bd9b8125057ea981728a7bace12a97bc&gt;</v>
      </c>
      <c r="F24" t="str" cm="1">
        <f t="array" ref="F24">pygetattr(E24, "Date")</f>
        <v>PyObj&lt;ex1$F$246dfddadf9ebe57155670da33f3ab7e7902a6bdf6582b86a3999646782765b553&gt;</v>
      </c>
      <c r="G24" t="str" cm="1">
        <f t="array" ref="G24">pygetattr(E24, "Close")</f>
        <v>PyObj&lt;ex1$G$24a4b46f1c88551e546691378e443b8945442da8e6c1aa16617850fa1a4df7fbd0&gt;</v>
      </c>
      <c r="H24" t="str" cm="1">
        <f t="array" ref="H24">pygetattr(G24, D24)</f>
        <v>PyObj&lt;ex1$H$241a42bd79129a53e351ccce4fbb539e897ad2bc72507221be84df8e5f4249bf85&gt;</v>
      </c>
      <c r="I24" s="9" cm="1">
        <f t="array" ref="I24">pygetitem(H24,0)</f>
        <v>116.18314361572266</v>
      </c>
      <c r="J24" t="str" cm="1">
        <f t="array" ref="J24">pydiv(H24, I24)</f>
        <v>PyObj&lt;ex1$J$24084b0bfc21c9fed895eb78d4e7fc587c930f65b2ff413d77e59bd8c9fbba4a0a&gt;</v>
      </c>
      <c r="K24" t="str" cm="1">
        <f t="array" ref="K24">pytype(J24)</f>
        <v>&lt;class 'pandas.core.series.Series'&gt;</v>
      </c>
      <c r="Q24" t="str">
        <f t="shared" si="0"/>
        <v>DIS</v>
      </c>
      <c r="R24" t="str">
        <f t="shared" si="1"/>
        <v>PyObj&lt;ex1$F$246dfddadf9ebe57155670da33f3ab7e7902a6bdf6582b86a3999646782765b553&gt;</v>
      </c>
      <c r="S24" t="str" cm="1">
        <f t="array" ref="S24">pydiv(H24, pygetitem(H24,0))</f>
        <v>PyObj&lt;ex1$S$24084b0bfc21c9fed895eb78d4e7fc587c930f65b2ff413d77e59bd8c9fbba4a0a&gt;</v>
      </c>
      <c r="T24" t="str" cm="1">
        <f t="array" ref="T24">mpl_add_line_unique($Q$3,R24,S24,Q24, U24, W24,1.2)</f>
        <v>PyObj&lt;ex1$T$24a721c6002bf87a7889496f29c81ed8c9f30bba0c3510d5eec4b49f6e2f0cf0db&gt;</v>
      </c>
      <c r="U24" t="s">
        <v>41</v>
      </c>
      <c r="W24" t="str" cm="1">
        <f t="array" ref="W24">pygetitem($AA$7, X24)</f>
        <v>PyObj&lt;ex1$W$24c3c4e483ec9e52bc43dee1665dc97ab027915500156033298badc0c97e96c3b6&gt;_0</v>
      </c>
      <c r="X24">
        <v>8</v>
      </c>
      <c r="Y24" s="13" t="str" cm="1">
        <f t="array" ref="Y24">visualise_color(pymul(W24, 255))</f>
        <v>[188. 189.  34.]</v>
      </c>
    </row>
    <row r="25" spans="1:25" x14ac:dyDescent="0.25">
      <c r="D25" t="s">
        <v>40</v>
      </c>
      <c r="E25" t="str" cm="1">
        <f t="array" ref="E25">get_stock_prices(D25,$E$3)</f>
        <v>PyObj&lt;ex1$E$2594b53f1860cd9c3a4c165714add853f6ca8129748dc62922d2a21a38752f5eb6&gt;</v>
      </c>
      <c r="F25" t="str" cm="1">
        <f t="array" ref="F25">pygetattr(E25, "Date")</f>
        <v>PyObj&lt;ex1$F$25fe450e680cca14304949b81d414bac164e7084af54308d998fb2a72d04e6e468&gt;</v>
      </c>
      <c r="G25" t="str" cm="1">
        <f t="array" ref="G25">pygetattr(E25, "Close")</f>
        <v>PyObj&lt;ex1$G$255a23e2d7f7220f9a7618c90aa8684dc3ec363d2191cc42293ae10ebb85ecf246&gt;</v>
      </c>
      <c r="H25" t="str" cm="1">
        <f t="array" ref="H25">pygetattr(G25, D25)</f>
        <v>PyObj&lt;ex1$H$2512e6909bc0e306dd7861b128553f35fc1c22fa36ad6d25d0356f89789895776a&gt;</v>
      </c>
      <c r="I25" s="9" cm="1">
        <f t="array" ref="I25">pygetitem(H25,0)</f>
        <v>92.212860107421875</v>
      </c>
      <c r="J25" t="str" cm="1">
        <f t="array" ref="J25">pydiv(H25, I25)</f>
        <v>PyObj&lt;ex1$J$25af6c097dcd6437f672dc9b3f28ae80de97e0e80a0d7f7772c1681431e5273240&gt;</v>
      </c>
      <c r="K25" t="str" cm="1">
        <f t="array" ref="K25">pytype(J25)</f>
        <v>&lt;class 'pandas.core.series.Series'&gt;</v>
      </c>
      <c r="Q25" t="str">
        <f t="shared" si="0"/>
        <v>NKE</v>
      </c>
      <c r="R25" t="str">
        <f t="shared" si="1"/>
        <v>PyObj&lt;ex1$F$25fe450e680cca14304949b81d414bac164e7084af54308d998fb2a72d04e6e468&gt;</v>
      </c>
      <c r="S25" t="str" cm="1">
        <f t="array" ref="S25">pydiv(H25, pygetitem(H25,0))</f>
        <v>PyObj&lt;ex1$S$25af6c097dcd6437f672dc9b3f28ae80de97e0e80a0d7f7772c1681431e5273240&gt;</v>
      </c>
      <c r="T25" t="str" cm="1">
        <f t="array" ref="T25">mpl_add_line_unique($Q$3,R25,S25,Q25, U25, W25,1.2)</f>
        <v>PyObj&lt;ex1$T$257a9d03b77cea06878158f9e862dff89d596f5c87e33e1aa1b1e4fae129962292&gt;</v>
      </c>
      <c r="U25" t="s">
        <v>41</v>
      </c>
      <c r="W25" t="str" cm="1">
        <f t="array" ref="W25">pygetitem($AA$7, X25)</f>
        <v>PyObj&lt;ex1$W$25a7459bde3f11791daa679ff7798482af47947036adfb3f4622d2ea58aac461bf&gt;_0</v>
      </c>
      <c r="X25">
        <v>9</v>
      </c>
      <c r="Y25" s="12" t="str" cm="1">
        <f t="array" ref="Y25">visualise_color(pymul(W25, 255))</f>
        <v>[ 23. 190. 207.]</v>
      </c>
    </row>
    <row r="26" spans="1:25" x14ac:dyDescent="0.25">
      <c r="I26" s="9"/>
      <c r="U26" s="9"/>
    </row>
    <row r="27" spans="1:25" x14ac:dyDescent="0.25">
      <c r="I27" s="9"/>
      <c r="R27" s="9"/>
    </row>
    <row r="28" spans="1:25" x14ac:dyDescent="0.25">
      <c r="B28" t="e" cm="1">
        <f t="array" aca="1" ref="B28" ca="1">show(pygetattr(E6, "columns"))</f>
        <v>#NAME?</v>
      </c>
      <c r="F28" s="10" cm="1">
        <f t="array" ref="F28:F1265">show(F6)</f>
        <v>44035</v>
      </c>
      <c r="H28" cm="1">
        <f t="array" ref="H28:H1265">show(H6)</f>
        <v>90.251754760742188</v>
      </c>
      <c r="J28" cm="1">
        <f t="array" ref="J28:J1265">show(J6)</f>
        <v>1</v>
      </c>
      <c r="R28" s="9"/>
    </row>
    <row r="29" spans="1:25" x14ac:dyDescent="0.25">
      <c r="F29" s="10">
        <v>44036</v>
      </c>
      <c r="H29">
        <v>90.028160095214844</v>
      </c>
      <c r="I29" s="9"/>
      <c r="J29">
        <v>0.99752254495084225</v>
      </c>
      <c r="P29" t="s">
        <v>3</v>
      </c>
      <c r="Q29" t="e" cm="1">
        <f t="array" aca="1" ref="Q29" ca="1">mpl_set_ax_title(Q3,$R$29)</f>
        <v>#NAME?</v>
      </c>
      <c r="R29" t="str">
        <f ca="1">"Relative ticker prices between " &amp; TEXT(Q37, "yyyy-mm-dd") &amp;" - " &amp; TEXT(R37, "yyyy-mm-dd")</f>
        <v>Relative ticker prices between 2020-07-23 - 2025-06-27</v>
      </c>
    </row>
    <row r="30" spans="1:25" x14ac:dyDescent="0.25">
      <c r="F30" s="10">
        <v>44039</v>
      </c>
      <c r="H30">
        <v>92.161880493164063</v>
      </c>
      <c r="I30" s="9"/>
      <c r="J30">
        <v>1.0211644165532916</v>
      </c>
    </row>
    <row r="31" spans="1:25" x14ac:dyDescent="0.25">
      <c r="A31" s="9"/>
      <c r="F31" s="10">
        <v>44040</v>
      </c>
      <c r="H31">
        <v>90.647880554199219</v>
      </c>
      <c r="J31">
        <v>1.0043891201285466</v>
      </c>
      <c r="P31" t="s">
        <v>5</v>
      </c>
      <c r="Q31" t="s">
        <v>10</v>
      </c>
      <c r="R31" t="str" cm="1">
        <f t="array" ref="R31">mpl_set_xax_name(Q3, Q31)</f>
        <v>PyObj&lt;ex1$R$31b5115e1b028ec6c13973f94ad989d7eabbc452898f2a676d60127de002660940&gt;</v>
      </c>
    </row>
    <row r="32" spans="1:25" x14ac:dyDescent="0.25">
      <c r="F32" s="10">
        <v>44041</v>
      </c>
      <c r="H32">
        <v>92.385429382324219</v>
      </c>
      <c r="J32">
        <v>1.0236413643949462</v>
      </c>
      <c r="P32" t="s">
        <v>4</v>
      </c>
      <c r="Q32" t="s">
        <v>11</v>
      </c>
      <c r="R32" t="str" cm="1">
        <f t="array" ref="R32">mpl_set_yax_name(Q3, Q32)</f>
        <v>PyObj&lt;ex1$R$325a777b4aba9430c2abd59e491256ec5963a215a800655bad7944329ee1557a66&gt;</v>
      </c>
    </row>
    <row r="33" spans="6:19" x14ac:dyDescent="0.25">
      <c r="F33" s="10">
        <v>44042</v>
      </c>
      <c r="H33">
        <v>93.503326416015625</v>
      </c>
      <c r="J33">
        <v>1.0360277942948961</v>
      </c>
    </row>
    <row r="34" spans="6:19" x14ac:dyDescent="0.25">
      <c r="F34" s="10">
        <v>44043</v>
      </c>
      <c r="H34">
        <v>103.29208374023438</v>
      </c>
      <c r="J34">
        <v>1.144488370492764</v>
      </c>
      <c r="P34" t="s">
        <v>6</v>
      </c>
      <c r="Q34" t="str" cm="1">
        <f t="array" ref="Q34">mpl_add_legend(Q3,T6:T25,Q6:Q25,"upper left",TRUE,3)</f>
        <v>PyObj&lt;ex1$Q$347c994a98f0d24c8f302824237827ff95dceec3a6793f93950766bf0dd441f06a&gt;</v>
      </c>
      <c r="R34" t="str" cm="1">
        <f t="array" ref="R34">pytype(Q34)</f>
        <v>&lt;class 'matplotlib.legend.Legend'&gt;</v>
      </c>
    </row>
    <row r="35" spans="6:19" x14ac:dyDescent="0.25">
      <c r="F35" s="10">
        <v>44046</v>
      </c>
      <c r="H35">
        <v>105.89476776123047</v>
      </c>
      <c r="J35">
        <v>1.1733264138958626</v>
      </c>
      <c r="S35" cm="1">
        <f t="array" ref="S35">pyhash(T6:T21)</f>
        <v>-2.1368788591326648E+18</v>
      </c>
    </row>
    <row r="36" spans="6:19" x14ac:dyDescent="0.25">
      <c r="F36" s="10">
        <v>44047</v>
      </c>
      <c r="H36">
        <v>106.60195922851563</v>
      </c>
      <c r="J36">
        <v>1.181162178077511</v>
      </c>
      <c r="P36" t="s">
        <v>48</v>
      </c>
      <c r="Q36">
        <f>E3</f>
        <v>1800</v>
      </c>
    </row>
    <row r="37" spans="6:19" x14ac:dyDescent="0.25">
      <c r="F37" s="10">
        <v>44048</v>
      </c>
      <c r="H37">
        <v>106.98837280273438</v>
      </c>
      <c r="J37">
        <v>1.1854436856808053</v>
      </c>
      <c r="P37" t="s">
        <v>12</v>
      </c>
      <c r="Q37" s="10">
        <f ca="1">TODAY() - Q36</f>
        <v>44035</v>
      </c>
      <c r="R37" s="10">
        <f ca="1">TODAY()</f>
        <v>45835</v>
      </c>
      <c r="S37" t="e" cm="1">
        <f t="array" aca="1" ref="S37" ca="1">mpl_set_xlims($Q$3, Q37:R37, S35)</f>
        <v>#NAME?</v>
      </c>
    </row>
    <row r="38" spans="6:19" x14ac:dyDescent="0.25">
      <c r="F38" s="10">
        <v>44049</v>
      </c>
      <c r="H38">
        <v>110.72108459472656</v>
      </c>
      <c r="J38">
        <v>1.2268025689721895</v>
      </c>
      <c r="P38" t="s">
        <v>13</v>
      </c>
      <c r="Q38">
        <v>0</v>
      </c>
      <c r="R38">
        <v>20</v>
      </c>
      <c r="S38" cm="1">
        <f t="array" ref="S38">mpl_set_ylims($Q$3, Q38:R38, S35)</f>
        <v>0.18271429681287787</v>
      </c>
    </row>
    <row r="39" spans="6:19" x14ac:dyDescent="0.25">
      <c r="F39" s="10">
        <v>44050</v>
      </c>
      <c r="H39">
        <v>108.20375823974609</v>
      </c>
      <c r="J39">
        <v>1.1989102984933062</v>
      </c>
    </row>
    <row r="40" spans="6:19" x14ac:dyDescent="0.25">
      <c r="F40" s="10">
        <v>44053</v>
      </c>
      <c r="H40">
        <v>109.7764892578125</v>
      </c>
      <c r="J40">
        <v>1.2163363421445985</v>
      </c>
    </row>
    <row r="41" spans="6:19" x14ac:dyDescent="0.25">
      <c r="F41" s="10">
        <v>44054</v>
      </c>
      <c r="H41">
        <v>106.51174926757813</v>
      </c>
      <c r="J41">
        <v>1.1801626411579615</v>
      </c>
      <c r="P41" t="e" cm="1">
        <f t="array" aca="1" ref="P41" ca="1">pyhash(_xlfn.VSTACK(T6:T25, R31:R32, Q34, S37:S38, Q29))</f>
        <v>#NAME?</v>
      </c>
    </row>
    <row r="42" spans="6:19" x14ac:dyDescent="0.25">
      <c r="F42" s="10">
        <v>44055</v>
      </c>
      <c r="H42">
        <v>110.05160522460938</v>
      </c>
      <c r="J42">
        <v>1.2193846592385564</v>
      </c>
      <c r="P42" t="s">
        <v>14</v>
      </c>
      <c r="Q42" t="e" cm="1">
        <f t="array" aca="1" ref="Q42" ca="1">show_image(Q2,P42,P41)</f>
        <v>#NAME?</v>
      </c>
    </row>
    <row r="43" spans="6:19" x14ac:dyDescent="0.25">
      <c r="F43" s="10">
        <v>44056</v>
      </c>
      <c r="H43">
        <v>111.99925231933594</v>
      </c>
      <c r="J43">
        <v>1.2409648168752669</v>
      </c>
    </row>
    <row r="44" spans="6:19" x14ac:dyDescent="0.25">
      <c r="F44" s="10">
        <v>44057</v>
      </c>
      <c r="H44">
        <v>111.8994140625</v>
      </c>
      <c r="J44">
        <v>1.2398585973108873</v>
      </c>
    </row>
    <row r="45" spans="6:19" x14ac:dyDescent="0.25">
      <c r="F45" s="10">
        <v>44060</v>
      </c>
      <c r="H45">
        <v>111.60729217529297</v>
      </c>
      <c r="J45">
        <v>1.2366218526295074</v>
      </c>
    </row>
    <row r="46" spans="6:19" x14ac:dyDescent="0.25">
      <c r="F46" s="10">
        <v>44061</v>
      </c>
      <c r="H46">
        <v>112.53728485107422</v>
      </c>
      <c r="J46">
        <v>1.2469262802635923</v>
      </c>
    </row>
    <row r="47" spans="6:19" x14ac:dyDescent="0.25">
      <c r="F47" s="10">
        <v>44062</v>
      </c>
      <c r="H47">
        <v>112.678466796875</v>
      </c>
      <c r="J47">
        <v>1.2484905927379044</v>
      </c>
    </row>
    <row r="48" spans="6:19" x14ac:dyDescent="0.25">
      <c r="F48" s="10">
        <v>44063</v>
      </c>
      <c r="H48">
        <v>115.17876434326172</v>
      </c>
      <c r="J48">
        <v>1.2761941820256144</v>
      </c>
    </row>
    <row r="49" spans="6:10" x14ac:dyDescent="0.25">
      <c r="F49" s="10">
        <v>44064</v>
      </c>
      <c r="H49">
        <v>121.11420440673828</v>
      </c>
      <c r="J49">
        <v>1.3419595522304535</v>
      </c>
    </row>
    <row r="50" spans="6:10" x14ac:dyDescent="0.25">
      <c r="F50" s="10">
        <v>44067</v>
      </c>
      <c r="H50">
        <v>122.56275939941406</v>
      </c>
      <c r="J50">
        <v>1.3580097109948555</v>
      </c>
    </row>
    <row r="51" spans="6:10" x14ac:dyDescent="0.25">
      <c r="F51" s="10">
        <v>44068</v>
      </c>
      <c r="H51">
        <v>121.55729675292969</v>
      </c>
      <c r="J51">
        <v>1.3468690672572365</v>
      </c>
    </row>
    <row r="52" spans="6:10" x14ac:dyDescent="0.25">
      <c r="F52" s="10">
        <v>44069</v>
      </c>
      <c r="H52">
        <v>123.21034240722656</v>
      </c>
      <c r="J52">
        <v>1.365185006472813</v>
      </c>
    </row>
    <row r="53" spans="6:10" x14ac:dyDescent="0.25">
      <c r="F53" s="10">
        <v>44070</v>
      </c>
      <c r="H53">
        <v>121.73744964599609</v>
      </c>
      <c r="J53">
        <v>1.3488651823859008</v>
      </c>
    </row>
    <row r="54" spans="6:10" x14ac:dyDescent="0.25">
      <c r="F54" s="10">
        <v>44071</v>
      </c>
      <c r="H54">
        <v>121.54026031494141</v>
      </c>
      <c r="J54">
        <v>1.3466803015314792</v>
      </c>
    </row>
    <row r="55" spans="6:10" x14ac:dyDescent="0.25">
      <c r="F55" s="10">
        <v>44074</v>
      </c>
      <c r="H55">
        <v>125.66195678710938</v>
      </c>
      <c r="J55">
        <v>1.3923491805809183</v>
      </c>
    </row>
    <row r="56" spans="6:10" x14ac:dyDescent="0.25">
      <c r="F56" s="10">
        <v>44075</v>
      </c>
      <c r="H56">
        <v>130.66740417480469</v>
      </c>
      <c r="J56">
        <v>1.4478101231516725</v>
      </c>
    </row>
    <row r="57" spans="6:10" x14ac:dyDescent="0.25">
      <c r="F57" s="10">
        <v>44076</v>
      </c>
      <c r="H57">
        <v>127.96018218994141</v>
      </c>
      <c r="J57">
        <v>1.4178137868805369</v>
      </c>
    </row>
    <row r="58" spans="6:10" x14ac:dyDescent="0.25">
      <c r="F58" s="10">
        <v>44077</v>
      </c>
      <c r="H58">
        <v>117.71556091308594</v>
      </c>
      <c r="J58">
        <v>1.304302184762506</v>
      </c>
    </row>
    <row r="59" spans="6:10" x14ac:dyDescent="0.25">
      <c r="F59" s="10">
        <v>44078</v>
      </c>
      <c r="H59">
        <v>117.79347229003906</v>
      </c>
      <c r="J59">
        <v>1.3051654519328748</v>
      </c>
    </row>
    <row r="60" spans="6:10" x14ac:dyDescent="0.25">
      <c r="F60" s="10">
        <v>44082</v>
      </c>
      <c r="H60">
        <v>109.86656951904297</v>
      </c>
      <c r="J60">
        <v>1.2173344419762224</v>
      </c>
    </row>
    <row r="61" spans="6:10" x14ac:dyDescent="0.25">
      <c r="F61" s="10">
        <v>44083</v>
      </c>
      <c r="H61">
        <v>114.24876403808594</v>
      </c>
      <c r="J61">
        <v>1.2658896698569455</v>
      </c>
    </row>
    <row r="62" spans="6:10" x14ac:dyDescent="0.25">
      <c r="F62" s="10">
        <v>44084</v>
      </c>
      <c r="H62">
        <v>110.51903533935547</v>
      </c>
      <c r="J62">
        <v>1.22456383958785</v>
      </c>
    </row>
    <row r="63" spans="6:10" x14ac:dyDescent="0.25">
      <c r="F63" s="10">
        <v>44085</v>
      </c>
      <c r="H63">
        <v>109.06803131103516</v>
      </c>
      <c r="J63">
        <v>1.2084865452220293</v>
      </c>
    </row>
    <row r="64" spans="6:10" x14ac:dyDescent="0.25">
      <c r="F64" s="10">
        <v>44088</v>
      </c>
      <c r="H64">
        <v>112.34008026123047</v>
      </c>
      <c r="J64">
        <v>1.2447412303400032</v>
      </c>
    </row>
    <row r="65" spans="6:14" x14ac:dyDescent="0.25">
      <c r="F65" s="10">
        <v>44089</v>
      </c>
      <c r="H65">
        <v>112.51535797119141</v>
      </c>
      <c r="J65">
        <v>1.2466833278695815</v>
      </c>
    </row>
    <row r="66" spans="6:14" x14ac:dyDescent="0.25">
      <c r="F66" s="10">
        <v>44090</v>
      </c>
      <c r="H66">
        <v>109.19462585449219</v>
      </c>
      <c r="J66">
        <v>1.2098892275720028</v>
      </c>
    </row>
    <row r="67" spans="6:14" x14ac:dyDescent="0.25">
      <c r="F67" s="10">
        <v>44091</v>
      </c>
      <c r="H67">
        <v>107.45149230957031</v>
      </c>
      <c r="J67">
        <v>1.1905751039902184</v>
      </c>
    </row>
    <row r="68" spans="6:14" x14ac:dyDescent="0.25">
      <c r="F68" s="10">
        <v>44092</v>
      </c>
      <c r="H68">
        <v>104.04312896728516</v>
      </c>
      <c r="J68">
        <v>1.1528100394624345</v>
      </c>
    </row>
    <row r="69" spans="6:14" x14ac:dyDescent="0.25">
      <c r="F69" s="10">
        <v>44095</v>
      </c>
      <c r="H69">
        <v>107.19828796386719</v>
      </c>
      <c r="J69">
        <v>1.1877695702211035</v>
      </c>
      <c r="N69" t="s">
        <v>49</v>
      </c>
    </row>
    <row r="70" spans="6:14" x14ac:dyDescent="0.25">
      <c r="F70" s="10">
        <v>44096</v>
      </c>
      <c r="H70">
        <v>108.88301086425781</v>
      </c>
      <c r="J70">
        <v>1.206436497028863</v>
      </c>
    </row>
    <row r="71" spans="6:14" x14ac:dyDescent="0.25">
      <c r="F71" s="10">
        <v>44097</v>
      </c>
      <c r="H71">
        <v>104.31576538085938</v>
      </c>
      <c r="J71">
        <v>1.1558308828166381</v>
      </c>
    </row>
    <row r="72" spans="6:14" x14ac:dyDescent="0.25">
      <c r="F72" s="10">
        <v>44098</v>
      </c>
      <c r="H72">
        <v>105.38697052001953</v>
      </c>
      <c r="J72">
        <v>1.1676999610633707</v>
      </c>
    </row>
    <row r="73" spans="6:14" x14ac:dyDescent="0.25">
      <c r="F73" s="10">
        <v>44099</v>
      </c>
      <c r="H73">
        <v>109.34071350097656</v>
      </c>
      <c r="J73">
        <v>1.2115078957837362</v>
      </c>
    </row>
    <row r="74" spans="6:14" x14ac:dyDescent="0.25">
      <c r="F74" s="10">
        <v>44102</v>
      </c>
      <c r="H74">
        <v>111.95053863525391</v>
      </c>
      <c r="J74">
        <v>1.2404250635573268</v>
      </c>
    </row>
    <row r="75" spans="6:14" x14ac:dyDescent="0.25">
      <c r="F75" s="10">
        <v>44103</v>
      </c>
      <c r="H75">
        <v>111.10331726074219</v>
      </c>
      <c r="J75">
        <v>1.2310377516235289</v>
      </c>
    </row>
    <row r="76" spans="6:14" x14ac:dyDescent="0.25">
      <c r="F76" s="10">
        <v>44104</v>
      </c>
      <c r="H76">
        <v>112.77830505371094</v>
      </c>
      <c r="J76">
        <v>1.2495968123022843</v>
      </c>
    </row>
    <row r="77" spans="6:14" x14ac:dyDescent="0.25">
      <c r="F77" s="10">
        <v>44105</v>
      </c>
      <c r="H77">
        <v>113.73264312744141</v>
      </c>
      <c r="J77">
        <v>1.2601709897934634</v>
      </c>
    </row>
    <row r="78" spans="6:14" x14ac:dyDescent="0.25">
      <c r="F78" s="10">
        <v>44106</v>
      </c>
      <c r="H78">
        <v>110.06132507324219</v>
      </c>
      <c r="J78">
        <v>1.2194923562983928</v>
      </c>
    </row>
    <row r="79" spans="6:14" x14ac:dyDescent="0.25">
      <c r="F79" s="10">
        <v>44109</v>
      </c>
      <c r="H79">
        <v>113.45024108886719</v>
      </c>
      <c r="J79">
        <v>1.2570419421719201</v>
      </c>
      <c r="N79" t="s">
        <v>50</v>
      </c>
    </row>
    <row r="80" spans="6:14" x14ac:dyDescent="0.25">
      <c r="F80" s="10">
        <v>44110</v>
      </c>
      <c r="H80">
        <v>110.19765472412109</v>
      </c>
      <c r="J80">
        <v>1.2210029047773705</v>
      </c>
    </row>
    <row r="81" spans="6:14" x14ac:dyDescent="0.25">
      <c r="F81" s="10">
        <v>44111</v>
      </c>
      <c r="H81">
        <v>112.06740570068359</v>
      </c>
      <c r="J81">
        <v>1.24171996431288</v>
      </c>
    </row>
    <row r="82" spans="6:14" x14ac:dyDescent="0.25">
      <c r="F82" s="10">
        <v>44112</v>
      </c>
      <c r="H82">
        <v>111.96028900146484</v>
      </c>
      <c r="J82">
        <v>1.2405330987554988</v>
      </c>
    </row>
    <row r="83" spans="6:14" x14ac:dyDescent="0.25">
      <c r="F83" s="10">
        <v>44113</v>
      </c>
      <c r="H83">
        <v>113.90791320800781</v>
      </c>
      <c r="J83">
        <v>1.2621130027884577</v>
      </c>
    </row>
    <row r="84" spans="6:14" x14ac:dyDescent="0.25">
      <c r="F84" s="10">
        <v>44116</v>
      </c>
      <c r="H84">
        <v>121.14341735839844</v>
      </c>
      <c r="J84">
        <v>1.3422832351520497</v>
      </c>
    </row>
    <row r="85" spans="6:14" x14ac:dyDescent="0.25">
      <c r="F85" s="10">
        <v>44117</v>
      </c>
      <c r="H85">
        <v>117.9298095703125</v>
      </c>
      <c r="J85">
        <v>1.3066760849464363</v>
      </c>
    </row>
    <row r="86" spans="6:14" x14ac:dyDescent="0.25">
      <c r="F86" s="10">
        <v>44118</v>
      </c>
      <c r="H86">
        <v>118.01746368408203</v>
      </c>
      <c r="J86">
        <v>1.3076473027803932</v>
      </c>
    </row>
    <row r="87" spans="6:14" x14ac:dyDescent="0.25">
      <c r="F87" s="10">
        <v>44119</v>
      </c>
      <c r="H87">
        <v>117.55001068115234</v>
      </c>
      <c r="J87">
        <v>1.3024678688273481</v>
      </c>
    </row>
    <row r="88" spans="6:14" x14ac:dyDescent="0.25">
      <c r="F88" s="10">
        <v>44120</v>
      </c>
      <c r="H88">
        <v>115.90425872802734</v>
      </c>
      <c r="J88">
        <v>1.2842327446739408</v>
      </c>
      <c r="N88" t="s">
        <v>51</v>
      </c>
    </row>
    <row r="89" spans="6:14" x14ac:dyDescent="0.25">
      <c r="F89" s="10">
        <v>44123</v>
      </c>
      <c r="H89">
        <v>112.94384765625</v>
      </c>
      <c r="J89">
        <v>1.2514310437028582</v>
      </c>
    </row>
    <row r="90" spans="6:14" x14ac:dyDescent="0.25">
      <c r="F90" s="10">
        <v>44124</v>
      </c>
      <c r="H90">
        <v>114.43380737304688</v>
      </c>
      <c r="J90">
        <v>1.2679399716538633</v>
      </c>
    </row>
    <row r="91" spans="6:14" x14ac:dyDescent="0.25">
      <c r="F91" s="10">
        <v>44125</v>
      </c>
      <c r="H91">
        <v>113.810546875</v>
      </c>
      <c r="J91">
        <v>1.2610341724292484</v>
      </c>
    </row>
    <row r="92" spans="6:14" x14ac:dyDescent="0.25">
      <c r="F92" s="10">
        <v>44126</v>
      </c>
      <c r="H92">
        <v>112.71985626220703</v>
      </c>
      <c r="J92">
        <v>1.2489491928553398</v>
      </c>
    </row>
    <row r="93" spans="6:14" x14ac:dyDescent="0.25">
      <c r="F93" s="10">
        <v>44127</v>
      </c>
      <c r="H93">
        <v>112.0284423828125</v>
      </c>
      <c r="J93">
        <v>1.2412882461931118</v>
      </c>
    </row>
    <row r="94" spans="6:14" x14ac:dyDescent="0.25">
      <c r="F94" s="10">
        <v>44130</v>
      </c>
      <c r="H94">
        <v>112.03820037841797</v>
      </c>
      <c r="J94">
        <v>1.2413963659258676</v>
      </c>
    </row>
    <row r="95" spans="6:14" x14ac:dyDescent="0.25">
      <c r="F95" s="10">
        <v>44131</v>
      </c>
      <c r="H95">
        <v>113.547607421875</v>
      </c>
      <c r="J95">
        <v>1.2581207725311294</v>
      </c>
    </row>
    <row r="96" spans="6:14" x14ac:dyDescent="0.25">
      <c r="F96" s="10">
        <v>44132</v>
      </c>
      <c r="H96">
        <v>108.28897857666016</v>
      </c>
      <c r="J96">
        <v>1.1998545497950122</v>
      </c>
    </row>
    <row r="97" spans="6:10" x14ac:dyDescent="0.25">
      <c r="F97" s="10">
        <v>44133</v>
      </c>
      <c r="H97">
        <v>112.30112457275391</v>
      </c>
      <c r="J97">
        <v>1.2443095967548188</v>
      </c>
    </row>
    <row r="98" spans="6:10" x14ac:dyDescent="0.25">
      <c r="F98" s="10">
        <v>44134</v>
      </c>
      <c r="H98">
        <v>106.01023101806641</v>
      </c>
      <c r="J98">
        <v>1.1746057602879856</v>
      </c>
    </row>
    <row r="99" spans="6:10" x14ac:dyDescent="0.25">
      <c r="F99" s="10">
        <v>44137</v>
      </c>
      <c r="H99">
        <v>105.92259216308594</v>
      </c>
      <c r="J99">
        <v>1.1736347115231966</v>
      </c>
    </row>
    <row r="100" spans="6:10" x14ac:dyDescent="0.25">
      <c r="F100" s="10">
        <v>44138</v>
      </c>
      <c r="H100">
        <v>107.54888916015625</v>
      </c>
      <c r="J100">
        <v>1.1916542724877632</v>
      </c>
    </row>
    <row r="101" spans="6:10" x14ac:dyDescent="0.25">
      <c r="F101" s="10">
        <v>44139</v>
      </c>
      <c r="H101">
        <v>111.94081115722656</v>
      </c>
      <c r="J101">
        <v>1.2403172819629065</v>
      </c>
    </row>
    <row r="102" spans="6:10" x14ac:dyDescent="0.25">
      <c r="F102" s="10">
        <v>44140</v>
      </c>
      <c r="H102">
        <v>115.91400146484375</v>
      </c>
      <c r="J102">
        <v>1.2843406953375289</v>
      </c>
    </row>
    <row r="103" spans="6:10" x14ac:dyDescent="0.25">
      <c r="F103" s="10">
        <v>44141</v>
      </c>
      <c r="H103">
        <v>115.78233337402344</v>
      </c>
      <c r="J103">
        <v>1.282881797489289</v>
      </c>
    </row>
    <row r="104" spans="6:10" x14ac:dyDescent="0.25">
      <c r="F104" s="10">
        <v>44144</v>
      </c>
      <c r="H104">
        <v>113.47039031982422</v>
      </c>
      <c r="J104">
        <v>1.2572651980078917</v>
      </c>
    </row>
    <row r="105" spans="6:10" x14ac:dyDescent="0.25">
      <c r="F105" s="10">
        <v>44145</v>
      </c>
      <c r="H105">
        <v>113.12895965576172</v>
      </c>
      <c r="J105">
        <v>1.2534821063110309</v>
      </c>
    </row>
    <row r="106" spans="6:10" x14ac:dyDescent="0.25">
      <c r="F106" s="10">
        <v>44146</v>
      </c>
      <c r="H106">
        <v>116.56269073486328</v>
      </c>
      <c r="J106">
        <v>1.291528248330146</v>
      </c>
    </row>
    <row r="107" spans="6:10" x14ac:dyDescent="0.25">
      <c r="F107" s="10">
        <v>44147</v>
      </c>
      <c r="H107">
        <v>116.28958892822266</v>
      </c>
      <c r="J107">
        <v>1.2885022483663269</v>
      </c>
    </row>
    <row r="108" spans="6:10" x14ac:dyDescent="0.25">
      <c r="F108" s="10">
        <v>44148</v>
      </c>
      <c r="H108">
        <v>116.33834075927734</v>
      </c>
      <c r="J108">
        <v>1.2890424243571863</v>
      </c>
    </row>
    <row r="109" spans="6:10" x14ac:dyDescent="0.25">
      <c r="F109" s="10">
        <v>44151</v>
      </c>
      <c r="H109">
        <v>117.35286712646484</v>
      </c>
      <c r="J109">
        <v>1.3002834951804298</v>
      </c>
    </row>
    <row r="110" spans="6:10" x14ac:dyDescent="0.25">
      <c r="F110" s="10">
        <v>44152</v>
      </c>
      <c r="H110">
        <v>116.46517181396484</v>
      </c>
      <c r="J110">
        <v>1.2904477272792594</v>
      </c>
    </row>
    <row r="111" spans="6:10" x14ac:dyDescent="0.25">
      <c r="F111" s="10">
        <v>44153</v>
      </c>
      <c r="H111">
        <v>115.13845825195313</v>
      </c>
      <c r="J111">
        <v>1.2757475858190868</v>
      </c>
    </row>
    <row r="112" spans="6:10" x14ac:dyDescent="0.25">
      <c r="F112" s="10">
        <v>44154</v>
      </c>
      <c r="H112">
        <v>115.73353576660156</v>
      </c>
      <c r="J112">
        <v>1.2823411142909265</v>
      </c>
    </row>
    <row r="113" spans="6:10" x14ac:dyDescent="0.25">
      <c r="F113" s="10">
        <v>44155</v>
      </c>
      <c r="H113">
        <v>114.46539306640625</v>
      </c>
      <c r="J113">
        <v>1.2682899448310399</v>
      </c>
    </row>
    <row r="114" spans="6:10" x14ac:dyDescent="0.25">
      <c r="F114" s="10">
        <v>44158</v>
      </c>
      <c r="H114">
        <v>111.06088256835938</v>
      </c>
      <c r="J114">
        <v>1.2305675702681047</v>
      </c>
    </row>
    <row r="115" spans="6:10" x14ac:dyDescent="0.25">
      <c r="F115" s="10">
        <v>44159</v>
      </c>
      <c r="H115">
        <v>112.34853363037109</v>
      </c>
      <c r="J115">
        <v>1.2448348946589189</v>
      </c>
    </row>
    <row r="116" spans="6:10" x14ac:dyDescent="0.25">
      <c r="F116" s="10">
        <v>44160</v>
      </c>
      <c r="H116">
        <v>113.18747711181641</v>
      </c>
      <c r="J116">
        <v>1.2541304865692298</v>
      </c>
    </row>
    <row r="117" spans="6:10" x14ac:dyDescent="0.25">
      <c r="F117" s="10">
        <v>44162</v>
      </c>
      <c r="H117">
        <v>113.73374938964844</v>
      </c>
      <c r="J117">
        <v>1.2601832473081229</v>
      </c>
    </row>
    <row r="118" spans="6:10" x14ac:dyDescent="0.25">
      <c r="F118" s="10">
        <v>44165</v>
      </c>
      <c r="H118">
        <v>116.13349151611328</v>
      </c>
      <c r="J118">
        <v>1.2867726707805704</v>
      </c>
    </row>
    <row r="119" spans="6:10" x14ac:dyDescent="0.25">
      <c r="F119" s="10">
        <v>44166</v>
      </c>
      <c r="H119">
        <v>119.71359252929688</v>
      </c>
      <c r="J119">
        <v>1.3264406087910219</v>
      </c>
    </row>
    <row r="120" spans="6:10" x14ac:dyDescent="0.25">
      <c r="F120" s="10">
        <v>44167</v>
      </c>
      <c r="H120">
        <v>120.06478118896484</v>
      </c>
      <c r="J120">
        <v>1.3303318202206387</v>
      </c>
    </row>
    <row r="121" spans="6:10" x14ac:dyDescent="0.25">
      <c r="F121" s="10">
        <v>44168</v>
      </c>
      <c r="H121">
        <v>119.92818450927734</v>
      </c>
      <c r="J121">
        <v>1.3288183130312259</v>
      </c>
    </row>
    <row r="122" spans="6:10" x14ac:dyDescent="0.25">
      <c r="F122" s="10">
        <v>44169</v>
      </c>
      <c r="H122">
        <v>119.25509643554688</v>
      </c>
      <c r="J122">
        <v>1.3213604184394274</v>
      </c>
    </row>
    <row r="123" spans="6:10" x14ac:dyDescent="0.25">
      <c r="F123" s="10">
        <v>44172</v>
      </c>
      <c r="H123">
        <v>120.71835327148438</v>
      </c>
      <c r="J123">
        <v>1.3375734753469257</v>
      </c>
    </row>
    <row r="124" spans="6:10" x14ac:dyDescent="0.25">
      <c r="F124" s="10">
        <v>44173</v>
      </c>
      <c r="H124">
        <v>121.33291625976563</v>
      </c>
      <c r="J124">
        <v>1.3443829051459413</v>
      </c>
    </row>
    <row r="125" spans="6:10" x14ac:dyDescent="0.25">
      <c r="F125" s="10">
        <v>44174</v>
      </c>
      <c r="H125">
        <v>118.79661560058594</v>
      </c>
      <c r="J125">
        <v>1.3162803971570005</v>
      </c>
    </row>
    <row r="126" spans="6:10" x14ac:dyDescent="0.25">
      <c r="F126" s="10">
        <v>44175</v>
      </c>
      <c r="H126">
        <v>120.22084808349609</v>
      </c>
      <c r="J126">
        <v>1.3320610596680598</v>
      </c>
    </row>
    <row r="127" spans="6:10" x14ac:dyDescent="0.25">
      <c r="F127" s="10">
        <v>44176</v>
      </c>
      <c r="H127">
        <v>119.41116333007813</v>
      </c>
      <c r="J127">
        <v>1.3230896578868485</v>
      </c>
    </row>
    <row r="128" spans="6:10" x14ac:dyDescent="0.25">
      <c r="F128" s="10">
        <v>44179</v>
      </c>
      <c r="H128">
        <v>118.79661560058594</v>
      </c>
      <c r="J128">
        <v>1.3162803971570005</v>
      </c>
    </row>
    <row r="129" spans="6:10" x14ac:dyDescent="0.25">
      <c r="F129" s="10">
        <v>44180</v>
      </c>
      <c r="H129">
        <v>124.74717712402344</v>
      </c>
      <c r="J129">
        <v>1.3822133149070484</v>
      </c>
    </row>
    <row r="130" spans="6:10" x14ac:dyDescent="0.25">
      <c r="F130" s="10">
        <v>44181</v>
      </c>
      <c r="H130">
        <v>124.67887878417969</v>
      </c>
      <c r="J130">
        <v>1.381456561312342</v>
      </c>
    </row>
    <row r="131" spans="6:10" x14ac:dyDescent="0.25">
      <c r="F131" s="10">
        <v>44182</v>
      </c>
      <c r="H131">
        <v>125.54707336425781</v>
      </c>
      <c r="J131">
        <v>1.3910762588171683</v>
      </c>
    </row>
    <row r="132" spans="6:10" x14ac:dyDescent="0.25">
      <c r="F132" s="10">
        <v>44183</v>
      </c>
      <c r="H132">
        <v>123.55706787109375</v>
      </c>
      <c r="J132">
        <v>1.3690267651708723</v>
      </c>
    </row>
    <row r="133" spans="6:10" x14ac:dyDescent="0.25">
      <c r="F133" s="10">
        <v>44186</v>
      </c>
      <c r="H133">
        <v>125.08860015869141</v>
      </c>
      <c r="J133">
        <v>1.3859963220693254</v>
      </c>
    </row>
    <row r="134" spans="6:10" x14ac:dyDescent="0.25">
      <c r="F134" s="10">
        <v>44187</v>
      </c>
      <c r="H134">
        <v>128.64921569824219</v>
      </c>
      <c r="J134">
        <v>1.425448358752601</v>
      </c>
    </row>
    <row r="135" spans="6:10" x14ac:dyDescent="0.25">
      <c r="F135" s="10">
        <v>44188</v>
      </c>
      <c r="H135">
        <v>127.75173950195313</v>
      </c>
      <c r="J135">
        <v>1.4155042175149233</v>
      </c>
    </row>
    <row r="136" spans="6:10" x14ac:dyDescent="0.25">
      <c r="F136" s="10">
        <v>44189</v>
      </c>
      <c r="H136">
        <v>128.73699951171875</v>
      </c>
      <c r="J136">
        <v>1.4264210136744833</v>
      </c>
    </row>
    <row r="137" spans="6:10" x14ac:dyDescent="0.25">
      <c r="F137" s="10">
        <v>44193</v>
      </c>
      <c r="H137">
        <v>133.34135437011719</v>
      </c>
      <c r="J137">
        <v>1.4774378041025986</v>
      </c>
    </row>
    <row r="138" spans="6:10" x14ac:dyDescent="0.25">
      <c r="F138" s="10">
        <v>44194</v>
      </c>
      <c r="H138">
        <v>131.56593322753906</v>
      </c>
      <c r="J138">
        <v>1.4577659301619226</v>
      </c>
    </row>
    <row r="139" spans="6:10" x14ac:dyDescent="0.25">
      <c r="F139" s="10">
        <v>44195</v>
      </c>
      <c r="H139">
        <v>130.444091796875</v>
      </c>
      <c r="J139">
        <v>1.4453357958821176</v>
      </c>
    </row>
    <row r="140" spans="6:10" x14ac:dyDescent="0.25">
      <c r="F140" s="10">
        <v>44196</v>
      </c>
      <c r="H140">
        <v>129.43936157226563</v>
      </c>
      <c r="J140">
        <v>1.4342032674645491</v>
      </c>
    </row>
    <row r="141" spans="6:10" x14ac:dyDescent="0.25">
      <c r="F141" s="10">
        <v>44200</v>
      </c>
      <c r="H141">
        <v>126.23967742919922</v>
      </c>
      <c r="J141">
        <v>1.3987503928744784</v>
      </c>
    </row>
    <row r="142" spans="6:10" x14ac:dyDescent="0.25">
      <c r="F142" s="10">
        <v>44201</v>
      </c>
      <c r="H142">
        <v>127.80049133300781</v>
      </c>
      <c r="J142">
        <v>1.4160443935057827</v>
      </c>
    </row>
    <row r="143" spans="6:10" x14ac:dyDescent="0.25">
      <c r="F143" s="10">
        <v>44202</v>
      </c>
      <c r="H143">
        <v>123.49853515625</v>
      </c>
      <c r="J143">
        <v>1.3683782158435056</v>
      </c>
    </row>
    <row r="144" spans="6:10" x14ac:dyDescent="0.25">
      <c r="F144" s="10">
        <v>44203</v>
      </c>
      <c r="H144">
        <v>127.71270751953125</v>
      </c>
      <c r="J144">
        <v>1.4150717385839002</v>
      </c>
    </row>
    <row r="145" spans="6:10" x14ac:dyDescent="0.25">
      <c r="F145" s="10">
        <v>44204</v>
      </c>
      <c r="H145">
        <v>128.81498718261719</v>
      </c>
      <c r="J145">
        <v>1.4272851261906907</v>
      </c>
    </row>
    <row r="146" spans="6:10" x14ac:dyDescent="0.25">
      <c r="F146" s="10">
        <v>44207</v>
      </c>
      <c r="H146">
        <v>125.82023620605469</v>
      </c>
      <c r="J146">
        <v>1.3941029350576586</v>
      </c>
    </row>
    <row r="147" spans="6:10" x14ac:dyDescent="0.25">
      <c r="F147" s="10">
        <v>44208</v>
      </c>
      <c r="H147">
        <v>125.64461517333984</v>
      </c>
      <c r="J147">
        <v>1.3921570334718065</v>
      </c>
    </row>
    <row r="148" spans="6:10" x14ac:dyDescent="0.25">
      <c r="F148" s="10">
        <v>44209</v>
      </c>
      <c r="H148">
        <v>127.68342590332031</v>
      </c>
      <c r="J148">
        <v>1.4147472948510491</v>
      </c>
    </row>
    <row r="149" spans="6:10" x14ac:dyDescent="0.25">
      <c r="F149" s="10">
        <v>44210</v>
      </c>
      <c r="H149">
        <v>125.75193786621094</v>
      </c>
      <c r="J149">
        <v>1.3933461814629522</v>
      </c>
    </row>
    <row r="150" spans="6:10" x14ac:dyDescent="0.25">
      <c r="F150" s="10">
        <v>44211</v>
      </c>
      <c r="H150">
        <v>124.02530670166016</v>
      </c>
      <c r="J150">
        <v>1.3742149061860549</v>
      </c>
    </row>
    <row r="151" spans="6:10" x14ac:dyDescent="0.25">
      <c r="F151" s="10">
        <v>44215</v>
      </c>
      <c r="H151">
        <v>124.69842529296875</v>
      </c>
      <c r="J151">
        <v>1.3816731389161889</v>
      </c>
    </row>
    <row r="152" spans="6:10" x14ac:dyDescent="0.25">
      <c r="F152" s="10">
        <v>44216</v>
      </c>
      <c r="H152">
        <v>128.79548645019531</v>
      </c>
      <c r="J152">
        <v>1.4270690557943471</v>
      </c>
    </row>
    <row r="153" spans="6:10" x14ac:dyDescent="0.25">
      <c r="F153" s="10">
        <v>44217</v>
      </c>
      <c r="H153">
        <v>133.51695251464844</v>
      </c>
      <c r="J153">
        <v>1.4793834520846989</v>
      </c>
    </row>
    <row r="154" spans="6:10" x14ac:dyDescent="0.25">
      <c r="F154" s="10">
        <v>44218</v>
      </c>
      <c r="H154">
        <v>135.66305541992188</v>
      </c>
      <c r="J154">
        <v>1.5031625233167516</v>
      </c>
    </row>
    <row r="155" spans="6:10" x14ac:dyDescent="0.25">
      <c r="F155" s="10">
        <v>44221</v>
      </c>
      <c r="H155">
        <v>139.41871643066406</v>
      </c>
      <c r="J155">
        <v>1.5447756866363842</v>
      </c>
    </row>
    <row r="156" spans="6:10" x14ac:dyDescent="0.25">
      <c r="F156" s="10">
        <v>44222</v>
      </c>
      <c r="H156">
        <v>139.65286254882813</v>
      </c>
      <c r="J156">
        <v>1.547370053015019</v>
      </c>
    </row>
    <row r="157" spans="6:10" x14ac:dyDescent="0.25">
      <c r="F157" s="10">
        <v>44223</v>
      </c>
      <c r="H157">
        <v>138.579833984375</v>
      </c>
      <c r="J157">
        <v>1.5354807710027443</v>
      </c>
    </row>
    <row r="158" spans="6:10" x14ac:dyDescent="0.25">
      <c r="F158" s="10">
        <v>44224</v>
      </c>
      <c r="H158">
        <v>133.73153686523438</v>
      </c>
      <c r="J158">
        <v>1.4817610717903191</v>
      </c>
    </row>
    <row r="159" spans="6:10" x14ac:dyDescent="0.25">
      <c r="F159" s="10">
        <v>44225</v>
      </c>
      <c r="H159">
        <v>128.72724914550781</v>
      </c>
      <c r="J159">
        <v>1.4263129784763116</v>
      </c>
    </row>
    <row r="160" spans="6:10" x14ac:dyDescent="0.25">
      <c r="F160" s="10">
        <v>44228</v>
      </c>
      <c r="H160">
        <v>130.85382080078125</v>
      </c>
      <c r="J160">
        <v>1.4498756411736848</v>
      </c>
    </row>
    <row r="161" spans="6:10" x14ac:dyDescent="0.25">
      <c r="F161" s="10">
        <v>44229</v>
      </c>
      <c r="H161">
        <v>131.68299865722656</v>
      </c>
      <c r="J161">
        <v>1.4590630288166562</v>
      </c>
    </row>
    <row r="162" spans="6:10" x14ac:dyDescent="0.25">
      <c r="F162" s="10">
        <v>44230</v>
      </c>
      <c r="H162">
        <v>130.65872192382813</v>
      </c>
      <c r="J162">
        <v>1.4477139227952409</v>
      </c>
    </row>
    <row r="163" spans="6:10" x14ac:dyDescent="0.25">
      <c r="F163" s="10">
        <v>44231</v>
      </c>
      <c r="H163">
        <v>134.02418518066406</v>
      </c>
      <c r="J163">
        <v>1.4850036493579852</v>
      </c>
    </row>
    <row r="164" spans="6:10" x14ac:dyDescent="0.25">
      <c r="F164" s="10">
        <v>44232</v>
      </c>
      <c r="H164">
        <v>133.60897827148438</v>
      </c>
      <c r="J164">
        <v>1.4804031082352069</v>
      </c>
    </row>
    <row r="165" spans="6:10" x14ac:dyDescent="0.25">
      <c r="F165" s="10">
        <v>44235</v>
      </c>
      <c r="H165">
        <v>133.75556945800781</v>
      </c>
      <c r="J165">
        <v>1.4820273557294752</v>
      </c>
    </row>
    <row r="166" spans="6:10" x14ac:dyDescent="0.25">
      <c r="F166" s="10">
        <v>44236</v>
      </c>
      <c r="H166">
        <v>132.87623596191406</v>
      </c>
      <c r="J166">
        <v>1.4722842377322143</v>
      </c>
    </row>
    <row r="167" spans="6:10" x14ac:dyDescent="0.25">
      <c r="F167" s="10">
        <v>44237</v>
      </c>
      <c r="H167">
        <v>132.27052307128906</v>
      </c>
      <c r="J167">
        <v>1.4655728680504752</v>
      </c>
    </row>
    <row r="168" spans="6:10" x14ac:dyDescent="0.25">
      <c r="F168" s="10">
        <v>44238</v>
      </c>
      <c r="H168">
        <v>132.01657104492188</v>
      </c>
      <c r="J168">
        <v>1.4627590498921423</v>
      </c>
    </row>
    <row r="169" spans="6:10" x14ac:dyDescent="0.25">
      <c r="F169" s="10">
        <v>44239</v>
      </c>
      <c r="H169">
        <v>132.25099182128906</v>
      </c>
      <c r="J169">
        <v>1.465356459515796</v>
      </c>
    </row>
    <row r="170" spans="6:10" x14ac:dyDescent="0.25">
      <c r="F170" s="10">
        <v>44243</v>
      </c>
      <c r="H170">
        <v>130.12124633789063</v>
      </c>
      <c r="J170">
        <v>1.4417586304315373</v>
      </c>
    </row>
    <row r="171" spans="6:10" x14ac:dyDescent="0.25">
      <c r="F171" s="10">
        <v>44244</v>
      </c>
      <c r="H171">
        <v>127.82539367675781</v>
      </c>
      <c r="J171">
        <v>1.4163203143874987</v>
      </c>
    </row>
    <row r="172" spans="6:10" x14ac:dyDescent="0.25">
      <c r="F172" s="10">
        <v>44245</v>
      </c>
      <c r="H172">
        <v>126.72142791748047</v>
      </c>
      <c r="J172">
        <v>1.4040882446376755</v>
      </c>
    </row>
    <row r="173" spans="6:10" x14ac:dyDescent="0.25">
      <c r="F173" s="10">
        <v>44246</v>
      </c>
      <c r="H173">
        <v>126.87771606445313</v>
      </c>
      <c r="J173">
        <v>1.4058199355880285</v>
      </c>
    </row>
    <row r="174" spans="6:10" x14ac:dyDescent="0.25">
      <c r="F174" s="10">
        <v>44249</v>
      </c>
      <c r="H174">
        <v>123.09691619873047</v>
      </c>
      <c r="J174">
        <v>1.3639282308145804</v>
      </c>
    </row>
    <row r="175" spans="6:10" x14ac:dyDescent="0.25">
      <c r="F175" s="10">
        <v>44250</v>
      </c>
      <c r="H175">
        <v>122.96012878417969</v>
      </c>
      <c r="J175">
        <v>1.3624126102605711</v>
      </c>
    </row>
    <row r="176" spans="6:10" x14ac:dyDescent="0.25">
      <c r="F176" s="10">
        <v>44251</v>
      </c>
      <c r="H176">
        <v>122.46186828613281</v>
      </c>
      <c r="J176">
        <v>1.356891825657903</v>
      </c>
    </row>
    <row r="177" spans="6:10" x14ac:dyDescent="0.25">
      <c r="F177" s="10">
        <v>44252</v>
      </c>
      <c r="H177">
        <v>118.20233154296875</v>
      </c>
      <c r="J177">
        <v>1.3096956602818823</v>
      </c>
    </row>
    <row r="178" spans="6:10" x14ac:dyDescent="0.25">
      <c r="F178" s="10">
        <v>44253</v>
      </c>
      <c r="H178">
        <v>118.46612548828125</v>
      </c>
      <c r="J178">
        <v>1.3126185280533933</v>
      </c>
    </row>
    <row r="179" spans="6:10" x14ac:dyDescent="0.25">
      <c r="F179" s="10">
        <v>44256</v>
      </c>
      <c r="H179">
        <v>124.84565734863281</v>
      </c>
      <c r="J179">
        <v>1.3833044873155012</v>
      </c>
    </row>
    <row r="180" spans="6:10" x14ac:dyDescent="0.25">
      <c r="F180" s="10">
        <v>44257</v>
      </c>
      <c r="H180">
        <v>122.23717498779297</v>
      </c>
      <c r="J180">
        <v>1.3544021976286698</v>
      </c>
    </row>
    <row r="181" spans="6:10" x14ac:dyDescent="0.25">
      <c r="F181" s="10">
        <v>44258</v>
      </c>
      <c r="H181">
        <v>119.24767303466797</v>
      </c>
      <c r="J181">
        <v>1.3212781662893325</v>
      </c>
    </row>
    <row r="182" spans="6:10" x14ac:dyDescent="0.25">
      <c r="F182" s="10">
        <v>44259</v>
      </c>
      <c r="H182">
        <v>117.36213684082031</v>
      </c>
      <c r="J182">
        <v>1.3003862046998185</v>
      </c>
    </row>
    <row r="183" spans="6:10" x14ac:dyDescent="0.25">
      <c r="F183" s="10">
        <v>44260</v>
      </c>
      <c r="H183">
        <v>118.62242889404297</v>
      </c>
      <c r="J183">
        <v>1.3143503880729142</v>
      </c>
    </row>
    <row r="184" spans="6:10" x14ac:dyDescent="0.25">
      <c r="F184" s="10">
        <v>44263</v>
      </c>
      <c r="H184">
        <v>113.67901611328125</v>
      </c>
      <c r="J184">
        <v>1.259576796203518</v>
      </c>
    </row>
    <row r="185" spans="6:10" x14ac:dyDescent="0.25">
      <c r="F185" s="10">
        <v>44264</v>
      </c>
      <c r="H185">
        <v>118.30003356933594</v>
      </c>
      <c r="J185">
        <v>1.3107782101627814</v>
      </c>
    </row>
    <row r="186" spans="6:10" x14ac:dyDescent="0.25">
      <c r="F186" s="10">
        <v>44265</v>
      </c>
      <c r="H186">
        <v>117.21561431884766</v>
      </c>
      <c r="J186">
        <v>1.2987627180168051</v>
      </c>
    </row>
    <row r="187" spans="6:10" x14ac:dyDescent="0.25">
      <c r="F187" s="10">
        <v>44266</v>
      </c>
      <c r="H187">
        <v>119.14997863769531</v>
      </c>
      <c r="J187">
        <v>1.3201957009430172</v>
      </c>
    </row>
    <row r="188" spans="6:10" x14ac:dyDescent="0.25">
      <c r="F188" s="10">
        <v>44267</v>
      </c>
      <c r="H188">
        <v>118.24143218994141</v>
      </c>
      <c r="J188">
        <v>1.31012890002416</v>
      </c>
    </row>
    <row r="189" spans="6:10" x14ac:dyDescent="0.25">
      <c r="F189" s="10">
        <v>44270</v>
      </c>
      <c r="H189">
        <v>121.13320922851563</v>
      </c>
      <c r="J189">
        <v>1.3421701278788465</v>
      </c>
    </row>
    <row r="190" spans="6:10" x14ac:dyDescent="0.25">
      <c r="F190" s="10">
        <v>44271</v>
      </c>
      <c r="H190">
        <v>122.67681121826172</v>
      </c>
      <c r="J190">
        <v>1.3592734184889645</v>
      </c>
    </row>
    <row r="191" spans="6:10" x14ac:dyDescent="0.25">
      <c r="F191" s="10">
        <v>44272</v>
      </c>
      <c r="H191">
        <v>121.88546752929688</v>
      </c>
      <c r="J191">
        <v>1.3505052378473505</v>
      </c>
    </row>
    <row r="192" spans="6:10" x14ac:dyDescent="0.25">
      <c r="F192" s="10">
        <v>44273</v>
      </c>
      <c r="H192">
        <v>117.75294494628906</v>
      </c>
      <c r="J192">
        <v>1.3047164042234154</v>
      </c>
    </row>
    <row r="193" spans="6:10" x14ac:dyDescent="0.25">
      <c r="F193" s="10">
        <v>44274</v>
      </c>
      <c r="H193">
        <v>117.22536468505859</v>
      </c>
      <c r="J193">
        <v>1.298870753214977</v>
      </c>
    </row>
    <row r="194" spans="6:10" x14ac:dyDescent="0.25">
      <c r="F194" s="10">
        <v>44277</v>
      </c>
      <c r="H194">
        <v>120.54704284667969</v>
      </c>
      <c r="J194">
        <v>1.3356753358009541</v>
      </c>
    </row>
    <row r="195" spans="6:10" x14ac:dyDescent="0.25">
      <c r="F195" s="10">
        <v>44278</v>
      </c>
      <c r="H195">
        <v>119.71662139892578</v>
      </c>
      <c r="J195">
        <v>1.3264741690208139</v>
      </c>
    </row>
    <row r="196" spans="6:10" x14ac:dyDescent="0.25">
      <c r="F196" s="10">
        <v>44279</v>
      </c>
      <c r="H196">
        <v>117.32305145263672</v>
      </c>
      <c r="J196">
        <v>1.2999531340267085</v>
      </c>
    </row>
    <row r="197" spans="6:10" x14ac:dyDescent="0.25">
      <c r="F197" s="10">
        <v>44280</v>
      </c>
      <c r="H197">
        <v>117.81155395507813</v>
      </c>
      <c r="J197">
        <v>1.3053657988966207</v>
      </c>
    </row>
    <row r="198" spans="6:10" x14ac:dyDescent="0.25">
      <c r="F198" s="10">
        <v>44281</v>
      </c>
      <c r="H198">
        <v>118.41726684570313</v>
      </c>
      <c r="J198">
        <v>1.3120771685783599</v>
      </c>
    </row>
    <row r="199" spans="6:10" x14ac:dyDescent="0.25">
      <c r="F199" s="10">
        <v>44284</v>
      </c>
      <c r="H199">
        <v>118.59312438964844</v>
      </c>
      <c r="J199">
        <v>1.3140256907363115</v>
      </c>
    </row>
    <row r="200" spans="6:10" x14ac:dyDescent="0.25">
      <c r="F200" s="10">
        <v>44285</v>
      </c>
      <c r="H200">
        <v>117.13744354248047</v>
      </c>
      <c r="J200">
        <v>1.2978965766705852</v>
      </c>
    </row>
    <row r="201" spans="6:10" x14ac:dyDescent="0.25">
      <c r="F201" s="10">
        <v>44286</v>
      </c>
      <c r="H201">
        <v>119.33561706542969</v>
      </c>
      <c r="J201">
        <v>1.3222525964374758</v>
      </c>
    </row>
    <row r="202" spans="6:10" x14ac:dyDescent="0.25">
      <c r="F202" s="10">
        <v>44287</v>
      </c>
      <c r="H202">
        <v>120.16602325439453</v>
      </c>
      <c r="J202">
        <v>1.3314535941484484</v>
      </c>
    </row>
    <row r="203" spans="6:10" x14ac:dyDescent="0.25">
      <c r="F203" s="10">
        <v>44291</v>
      </c>
      <c r="H203">
        <v>122.99919891357422</v>
      </c>
      <c r="J203">
        <v>1.3628455118645133</v>
      </c>
    </row>
    <row r="204" spans="6:10" x14ac:dyDescent="0.25">
      <c r="F204" s="10">
        <v>44292</v>
      </c>
      <c r="H204">
        <v>123.30207061767578</v>
      </c>
      <c r="J204">
        <v>1.3662013657745506</v>
      </c>
    </row>
    <row r="205" spans="6:10" x14ac:dyDescent="0.25">
      <c r="F205" s="10">
        <v>44293</v>
      </c>
      <c r="H205">
        <v>124.95313262939453</v>
      </c>
      <c r="J205">
        <v>1.3844953259983239</v>
      </c>
    </row>
    <row r="206" spans="6:10" x14ac:dyDescent="0.25">
      <c r="F206" s="10">
        <v>44294</v>
      </c>
      <c r="H206">
        <v>127.35643005371094</v>
      </c>
      <c r="J206">
        <v>1.4111241425868495</v>
      </c>
    </row>
    <row r="207" spans="6:10" x14ac:dyDescent="0.25">
      <c r="F207" s="10">
        <v>44295</v>
      </c>
      <c r="H207">
        <v>129.93563842773438</v>
      </c>
      <c r="J207">
        <v>1.4397020730754138</v>
      </c>
    </row>
    <row r="208" spans="6:10" x14ac:dyDescent="0.25">
      <c r="F208" s="10">
        <v>44298</v>
      </c>
      <c r="H208">
        <v>128.21614074707031</v>
      </c>
      <c r="J208">
        <v>1.4206498376344248</v>
      </c>
    </row>
    <row r="209" spans="6:10" x14ac:dyDescent="0.25">
      <c r="F209" s="10">
        <v>44299</v>
      </c>
      <c r="H209">
        <v>131.3326416015625</v>
      </c>
      <c r="J209">
        <v>1.45518103165668</v>
      </c>
    </row>
    <row r="210" spans="6:10" x14ac:dyDescent="0.25">
      <c r="F210" s="10">
        <v>44300</v>
      </c>
      <c r="H210">
        <v>128.98796081542969</v>
      </c>
      <c r="J210">
        <v>1.4292016942759436</v>
      </c>
    </row>
    <row r="211" spans="6:10" x14ac:dyDescent="0.25">
      <c r="F211" s="10">
        <v>44301</v>
      </c>
      <c r="H211">
        <v>131.40104675292969</v>
      </c>
      <c r="J211">
        <v>1.4559389687355604</v>
      </c>
    </row>
    <row r="212" spans="6:10" x14ac:dyDescent="0.25">
      <c r="F212" s="10">
        <v>44302</v>
      </c>
      <c r="H212">
        <v>131.06887817382813</v>
      </c>
      <c r="J212">
        <v>1.4522585020235044</v>
      </c>
    </row>
    <row r="213" spans="6:10" x14ac:dyDescent="0.25">
      <c r="F213" s="10">
        <v>44305</v>
      </c>
      <c r="H213">
        <v>131.73323059082031</v>
      </c>
      <c r="J213">
        <v>1.4596196045167842</v>
      </c>
    </row>
    <row r="214" spans="6:10" x14ac:dyDescent="0.25">
      <c r="F214" s="10">
        <v>44306</v>
      </c>
      <c r="H214">
        <v>130.04307556152344</v>
      </c>
      <c r="J214">
        <v>1.4408924890853172</v>
      </c>
    </row>
    <row r="215" spans="6:10" x14ac:dyDescent="0.25">
      <c r="F215" s="10">
        <v>44307</v>
      </c>
      <c r="H215">
        <v>130.42410278320313</v>
      </c>
      <c r="J215">
        <v>1.4451143152724069</v>
      </c>
    </row>
    <row r="216" spans="6:10" x14ac:dyDescent="0.25">
      <c r="F216" s="10">
        <v>44308</v>
      </c>
      <c r="H216">
        <v>128.9000244140625</v>
      </c>
      <c r="J216">
        <v>1.428227348662384</v>
      </c>
    </row>
    <row r="217" spans="6:10" x14ac:dyDescent="0.25">
      <c r="F217" s="10">
        <v>44309</v>
      </c>
      <c r="H217">
        <v>131.22518920898438</v>
      </c>
      <c r="J217">
        <v>1.453990446577609</v>
      </c>
    </row>
    <row r="218" spans="6:10" x14ac:dyDescent="0.25">
      <c r="F218" s="10">
        <v>44312</v>
      </c>
      <c r="H218">
        <v>131.61599731445313</v>
      </c>
      <c r="J218">
        <v>1.4583206461012057</v>
      </c>
    </row>
    <row r="219" spans="6:10" x14ac:dyDescent="0.25">
      <c r="F219" s="10">
        <v>44313</v>
      </c>
      <c r="H219">
        <v>131.29359436035156</v>
      </c>
      <c r="J219">
        <v>1.4547483836564894</v>
      </c>
    </row>
    <row r="220" spans="6:10" x14ac:dyDescent="0.25">
      <c r="F220" s="10">
        <v>44314</v>
      </c>
      <c r="H220">
        <v>130.50225830078125</v>
      </c>
      <c r="J220">
        <v>1.4459802875494592</v>
      </c>
    </row>
    <row r="221" spans="6:10" x14ac:dyDescent="0.25">
      <c r="F221" s="10">
        <v>44315</v>
      </c>
      <c r="H221">
        <v>130.40457153320313</v>
      </c>
      <c r="J221">
        <v>1.4448979067377277</v>
      </c>
    </row>
    <row r="222" spans="6:10" x14ac:dyDescent="0.25">
      <c r="F222" s="10">
        <v>44316</v>
      </c>
      <c r="H222">
        <v>128.43113708496094</v>
      </c>
      <c r="J222">
        <v>1.4230320222075734</v>
      </c>
    </row>
    <row r="223" spans="6:10" x14ac:dyDescent="0.25">
      <c r="F223" s="10">
        <v>44319</v>
      </c>
      <c r="H223">
        <v>129.4862060546875</v>
      </c>
      <c r="J223">
        <v>1.4347223098094439</v>
      </c>
    </row>
    <row r="224" spans="6:10" x14ac:dyDescent="0.25">
      <c r="F224" s="10">
        <v>44320</v>
      </c>
      <c r="H224">
        <v>124.90428161621094</v>
      </c>
      <c r="J224">
        <v>1.3839540510578743</v>
      </c>
    </row>
    <row r="225" spans="6:10" x14ac:dyDescent="0.25">
      <c r="F225" s="10">
        <v>44321</v>
      </c>
      <c r="H225">
        <v>125.14852142333984</v>
      </c>
      <c r="J225">
        <v>1.3866602566909545</v>
      </c>
    </row>
    <row r="226" spans="6:10" x14ac:dyDescent="0.25">
      <c r="F226" s="10">
        <v>44322</v>
      </c>
      <c r="H226">
        <v>126.75072479248047</v>
      </c>
      <c r="J226">
        <v>1.4044128574396944</v>
      </c>
    </row>
    <row r="227" spans="6:10" x14ac:dyDescent="0.25">
      <c r="F227" s="10">
        <v>44323</v>
      </c>
      <c r="H227">
        <v>127.42599487304688</v>
      </c>
      <c r="J227">
        <v>1.4118949289224765</v>
      </c>
    </row>
    <row r="228" spans="6:10" x14ac:dyDescent="0.25">
      <c r="F228" s="10">
        <v>44326</v>
      </c>
      <c r="H228">
        <v>124.13780212402344</v>
      </c>
      <c r="J228">
        <v>1.3754613686250567</v>
      </c>
    </row>
    <row r="229" spans="6:10" x14ac:dyDescent="0.25">
      <c r="F229" s="10">
        <v>44327</v>
      </c>
      <c r="H229">
        <v>123.21791076660156</v>
      </c>
      <c r="J229">
        <v>1.3652688647800013</v>
      </c>
    </row>
    <row r="230" spans="6:10" x14ac:dyDescent="0.25">
      <c r="F230" s="10">
        <v>44328</v>
      </c>
      <c r="H230">
        <v>120.14505767822266</v>
      </c>
      <c r="J230">
        <v>1.3312212931120038</v>
      </c>
    </row>
    <row r="231" spans="6:10" x14ac:dyDescent="0.25">
      <c r="F231" s="10">
        <v>44329</v>
      </c>
      <c r="H231">
        <v>122.29801177978516</v>
      </c>
      <c r="J231">
        <v>1.3550762764003619</v>
      </c>
    </row>
    <row r="232" spans="6:10" x14ac:dyDescent="0.25">
      <c r="F232" s="10">
        <v>44330</v>
      </c>
      <c r="H232">
        <v>124.72498321533203</v>
      </c>
      <c r="J232">
        <v>1.3819674038026022</v>
      </c>
    </row>
    <row r="233" spans="6:10" x14ac:dyDescent="0.25">
      <c r="F233" s="10">
        <v>44333</v>
      </c>
      <c r="H233">
        <v>123.57021331787109</v>
      </c>
      <c r="J233">
        <v>1.3691724182588614</v>
      </c>
    </row>
    <row r="234" spans="6:10" x14ac:dyDescent="0.25">
      <c r="F234" s="10">
        <v>44334</v>
      </c>
      <c r="H234">
        <v>122.18056488037109</v>
      </c>
      <c r="J234">
        <v>1.3537749510164354</v>
      </c>
    </row>
    <row r="235" spans="6:10" x14ac:dyDescent="0.25">
      <c r="F235" s="10">
        <v>44335</v>
      </c>
      <c r="H235">
        <v>122.02401733398438</v>
      </c>
      <c r="J235">
        <v>1.3520403858902312</v>
      </c>
    </row>
    <row r="236" spans="6:10" x14ac:dyDescent="0.25">
      <c r="F236" s="10">
        <v>44336</v>
      </c>
      <c r="H236">
        <v>124.58796691894531</v>
      </c>
      <c r="J236">
        <v>1.3804492472110772</v>
      </c>
    </row>
    <row r="237" spans="6:10" x14ac:dyDescent="0.25">
      <c r="F237" s="10">
        <v>44337</v>
      </c>
      <c r="H237">
        <v>122.74818420410156</v>
      </c>
      <c r="J237">
        <v>1.3600642395209661</v>
      </c>
    </row>
    <row r="238" spans="6:10" x14ac:dyDescent="0.25">
      <c r="F238" s="10">
        <v>44340</v>
      </c>
      <c r="H238">
        <v>124.38247680664063</v>
      </c>
      <c r="J238">
        <v>1.3781723927294172</v>
      </c>
    </row>
    <row r="239" spans="6:10" x14ac:dyDescent="0.25">
      <c r="F239" s="10">
        <v>44341</v>
      </c>
      <c r="H239">
        <v>124.18673706054688</v>
      </c>
      <c r="J239">
        <v>1.3760035734459288</v>
      </c>
    </row>
    <row r="240" spans="6:10" x14ac:dyDescent="0.25">
      <c r="F240" s="10">
        <v>44342</v>
      </c>
      <c r="H240">
        <v>124.13780212402344</v>
      </c>
      <c r="J240">
        <v>1.3754613686250567</v>
      </c>
    </row>
    <row r="241" spans="6:10" x14ac:dyDescent="0.25">
      <c r="F241" s="10">
        <v>44343</v>
      </c>
      <c r="H241">
        <v>122.60138702392578</v>
      </c>
      <c r="J241">
        <v>1.3584377095929339</v>
      </c>
    </row>
    <row r="242" spans="6:10" x14ac:dyDescent="0.25">
      <c r="F242" s="10">
        <v>44344</v>
      </c>
      <c r="H242">
        <v>121.94570922851563</v>
      </c>
      <c r="J242">
        <v>1.3511727229215016</v>
      </c>
    </row>
    <row r="243" spans="6:10" x14ac:dyDescent="0.25">
      <c r="F243" s="10">
        <v>44348</v>
      </c>
      <c r="H243">
        <v>121.62277221679688</v>
      </c>
      <c r="J243">
        <v>1.3475945430559151</v>
      </c>
    </row>
    <row r="244" spans="6:10" x14ac:dyDescent="0.25">
      <c r="F244" s="10">
        <v>44349</v>
      </c>
      <c r="H244">
        <v>122.38608551025391</v>
      </c>
      <c r="J244">
        <v>1.356052143636431</v>
      </c>
    </row>
    <row r="245" spans="6:10" x14ac:dyDescent="0.25">
      <c r="F245" s="10">
        <v>44350</v>
      </c>
      <c r="H245">
        <v>120.89858245849609</v>
      </c>
      <c r="J245">
        <v>1.3395704358214284</v>
      </c>
    </row>
    <row r="246" spans="6:10" x14ac:dyDescent="0.25">
      <c r="F246" s="10">
        <v>44351</v>
      </c>
      <c r="H246">
        <v>123.19833374023438</v>
      </c>
      <c r="J246">
        <v>1.365051949037819</v>
      </c>
    </row>
    <row r="247" spans="6:10" x14ac:dyDescent="0.25">
      <c r="F247" s="10">
        <v>44354</v>
      </c>
      <c r="H247">
        <v>123.20812225341797</v>
      </c>
      <c r="J247">
        <v>1.3651604069089101</v>
      </c>
    </row>
    <row r="248" spans="6:10" x14ac:dyDescent="0.25">
      <c r="F248" s="10">
        <v>44355</v>
      </c>
      <c r="H248">
        <v>124.03015899658203</v>
      </c>
      <c r="J248">
        <v>1.3742686701813893</v>
      </c>
    </row>
    <row r="249" spans="6:10" x14ac:dyDescent="0.25">
      <c r="F249" s="10">
        <v>44356</v>
      </c>
      <c r="H249">
        <v>124.41182708740234</v>
      </c>
      <c r="J249">
        <v>1.3784975972735229</v>
      </c>
    </row>
    <row r="250" spans="6:10" x14ac:dyDescent="0.25">
      <c r="F250" s="10">
        <v>44357</v>
      </c>
      <c r="H250">
        <v>123.41363525390625</v>
      </c>
      <c r="J250">
        <v>1.3674375149943219</v>
      </c>
    </row>
    <row r="251" spans="6:10" x14ac:dyDescent="0.25">
      <c r="F251" s="10">
        <v>44358</v>
      </c>
      <c r="H251">
        <v>124.62712860107422</v>
      </c>
      <c r="J251">
        <v>1.3808831632300258</v>
      </c>
    </row>
    <row r="252" spans="6:10" x14ac:dyDescent="0.25">
      <c r="F252" s="10">
        <v>44361</v>
      </c>
      <c r="H252">
        <v>127.69019317626953</v>
      </c>
      <c r="J252">
        <v>1.4148222770269323</v>
      </c>
    </row>
    <row r="253" spans="6:10" x14ac:dyDescent="0.25">
      <c r="F253" s="10">
        <v>44362</v>
      </c>
      <c r="H253">
        <v>126.86815643310547</v>
      </c>
      <c r="J253">
        <v>1.405714013754453</v>
      </c>
    </row>
    <row r="254" spans="6:10" x14ac:dyDescent="0.25">
      <c r="F254" s="10">
        <v>44363</v>
      </c>
      <c r="H254">
        <v>127.36722564697266</v>
      </c>
      <c r="J254">
        <v>1.4112437590230102</v>
      </c>
    </row>
    <row r="255" spans="6:10" x14ac:dyDescent="0.25">
      <c r="F255" s="10">
        <v>44364</v>
      </c>
      <c r="H255">
        <v>128.97218322753906</v>
      </c>
      <c r="J255">
        <v>1.4290268767565231</v>
      </c>
    </row>
    <row r="256" spans="6:10" x14ac:dyDescent="0.25">
      <c r="F256" s="10">
        <v>44365</v>
      </c>
      <c r="H256">
        <v>127.670654296875</v>
      </c>
      <c r="J256">
        <v>1.4146057839576691</v>
      </c>
    </row>
    <row r="257" spans="6:10" x14ac:dyDescent="0.25">
      <c r="F257" s="10">
        <v>44368</v>
      </c>
      <c r="H257">
        <v>129.47125244140625</v>
      </c>
      <c r="J257">
        <v>1.4345566220250801</v>
      </c>
    </row>
    <row r="258" spans="6:10" x14ac:dyDescent="0.25">
      <c r="F258" s="10">
        <v>44369</v>
      </c>
      <c r="H258">
        <v>131.11534118652344</v>
      </c>
      <c r="J258">
        <v>1.4527733176392061</v>
      </c>
    </row>
    <row r="259" spans="6:10" x14ac:dyDescent="0.25">
      <c r="F259" s="10">
        <v>44370</v>
      </c>
      <c r="H259">
        <v>130.84136962890625</v>
      </c>
      <c r="J259">
        <v>1.4497376807328268</v>
      </c>
    </row>
    <row r="260" spans="6:10" x14ac:dyDescent="0.25">
      <c r="F260" s="10">
        <v>44371</v>
      </c>
      <c r="H260">
        <v>130.55755615234375</v>
      </c>
      <c r="J260">
        <v>1.4465929942132696</v>
      </c>
    </row>
    <row r="261" spans="6:10" x14ac:dyDescent="0.25">
      <c r="F261" s="10">
        <v>44372</v>
      </c>
      <c r="H261">
        <v>130.26396179199219</v>
      </c>
      <c r="J261">
        <v>1.4433399343572049</v>
      </c>
    </row>
    <row r="262" spans="6:10" x14ac:dyDescent="0.25">
      <c r="F262" s="10">
        <v>44375</v>
      </c>
      <c r="H262">
        <v>131.89826965332031</v>
      </c>
      <c r="J262">
        <v>1.4614482566348237</v>
      </c>
    </row>
    <row r="263" spans="6:10" x14ac:dyDescent="0.25">
      <c r="F263" s="10">
        <v>44376</v>
      </c>
      <c r="H263">
        <v>133.41514587402344</v>
      </c>
      <c r="J263">
        <v>1.4782554225976836</v>
      </c>
    </row>
    <row r="264" spans="6:10" x14ac:dyDescent="0.25">
      <c r="F264" s="10">
        <v>44377</v>
      </c>
      <c r="H264">
        <v>134.03166198730469</v>
      </c>
      <c r="J264">
        <v>1.4850864932501671</v>
      </c>
    </row>
    <row r="265" spans="6:10" x14ac:dyDescent="0.25">
      <c r="F265" s="10">
        <v>44378</v>
      </c>
      <c r="H265">
        <v>134.33505249023438</v>
      </c>
      <c r="J265">
        <v>1.4884480955119068</v>
      </c>
    </row>
    <row r="266" spans="6:10" x14ac:dyDescent="0.25">
      <c r="F266" s="10">
        <v>44379</v>
      </c>
      <c r="H266">
        <v>136.96749877929688</v>
      </c>
      <c r="J266">
        <v>1.5176159083266396</v>
      </c>
    </row>
    <row r="267" spans="6:10" x14ac:dyDescent="0.25">
      <c r="F267" s="10">
        <v>44383</v>
      </c>
      <c r="H267">
        <v>138.98344421386719</v>
      </c>
      <c r="J267">
        <v>1.5399528195580565</v>
      </c>
    </row>
    <row r="268" spans="6:10" x14ac:dyDescent="0.25">
      <c r="F268" s="10">
        <v>44384</v>
      </c>
      <c r="H268">
        <v>141.47892761230469</v>
      </c>
      <c r="J268">
        <v>1.5676030675233514</v>
      </c>
    </row>
    <row r="269" spans="6:10" x14ac:dyDescent="0.25">
      <c r="F269" s="10">
        <v>44385</v>
      </c>
      <c r="H269">
        <v>140.17738342285156</v>
      </c>
      <c r="J269">
        <v>1.5531818056553299</v>
      </c>
    </row>
    <row r="270" spans="6:10" x14ac:dyDescent="0.25">
      <c r="F270" s="10">
        <v>44386</v>
      </c>
      <c r="H270">
        <v>142.00738525390625</v>
      </c>
      <c r="J270">
        <v>1.5734584400089335</v>
      </c>
    </row>
    <row r="271" spans="6:10" x14ac:dyDescent="0.25">
      <c r="F271" s="10">
        <v>44389</v>
      </c>
      <c r="H271">
        <v>141.41043090820313</v>
      </c>
      <c r="J271">
        <v>1.5668441160294646</v>
      </c>
    </row>
    <row r="272" spans="6:10" x14ac:dyDescent="0.25">
      <c r="F272" s="10">
        <v>44390</v>
      </c>
      <c r="H272">
        <v>142.52603149414063</v>
      </c>
      <c r="J272">
        <v>1.579205101019673</v>
      </c>
    </row>
    <row r="273" spans="6:10" x14ac:dyDescent="0.25">
      <c r="F273" s="10">
        <v>44391</v>
      </c>
      <c r="H273">
        <v>145.96102905273438</v>
      </c>
      <c r="J273">
        <v>1.617265275779709</v>
      </c>
    </row>
    <row r="274" spans="6:10" x14ac:dyDescent="0.25">
      <c r="F274" s="10">
        <v>44392</v>
      </c>
      <c r="H274">
        <v>145.30535888671875</v>
      </c>
      <c r="J274">
        <v>1.6100003736428607</v>
      </c>
    </row>
    <row r="275" spans="6:10" x14ac:dyDescent="0.25">
      <c r="F275" s="10">
        <v>44393</v>
      </c>
      <c r="H275">
        <v>143.26004028320313</v>
      </c>
      <c r="J275">
        <v>1.5873380042635863</v>
      </c>
    </row>
    <row r="276" spans="6:10" x14ac:dyDescent="0.25">
      <c r="F276" s="10">
        <v>44396</v>
      </c>
      <c r="H276">
        <v>139.404296875</v>
      </c>
      <c r="J276">
        <v>1.5446159162728905</v>
      </c>
    </row>
    <row r="277" spans="6:10" x14ac:dyDescent="0.25">
      <c r="F277" s="10">
        <v>44397</v>
      </c>
      <c r="H277">
        <v>143.02513122558594</v>
      </c>
      <c r="J277">
        <v>1.5847351844265656</v>
      </c>
    </row>
    <row r="278" spans="6:10" x14ac:dyDescent="0.25">
      <c r="F278" s="10">
        <v>44398</v>
      </c>
      <c r="H278">
        <v>142.29116821289063</v>
      </c>
      <c r="J278">
        <v>1.5766027883901554</v>
      </c>
    </row>
    <row r="279" spans="6:10" x14ac:dyDescent="0.25">
      <c r="F279" s="10">
        <v>44399</v>
      </c>
      <c r="H279">
        <v>143.66127014160156</v>
      </c>
      <c r="J279">
        <v>1.5917836780287347</v>
      </c>
    </row>
    <row r="280" spans="6:10" x14ac:dyDescent="0.25">
      <c r="F280" s="10">
        <v>44400</v>
      </c>
      <c r="H280">
        <v>145.38362121582031</v>
      </c>
      <c r="J280">
        <v>1.6108675294040871</v>
      </c>
    </row>
    <row r="281" spans="6:10" x14ac:dyDescent="0.25">
      <c r="F281" s="10">
        <v>44403</v>
      </c>
      <c r="H281">
        <v>145.80442810058594</v>
      </c>
      <c r="J281">
        <v>1.6155301189114177</v>
      </c>
    </row>
    <row r="282" spans="6:10" x14ac:dyDescent="0.25">
      <c r="F282" s="10">
        <v>44404</v>
      </c>
      <c r="H282">
        <v>143.63191223144531</v>
      </c>
      <c r="J282">
        <v>1.5914583889500449</v>
      </c>
    </row>
    <row r="283" spans="6:10" x14ac:dyDescent="0.25">
      <c r="F283" s="10">
        <v>44405</v>
      </c>
      <c r="H283">
        <v>141.88015747070313</v>
      </c>
      <c r="J283">
        <v>1.5720487412884998</v>
      </c>
    </row>
    <row r="284" spans="6:10" x14ac:dyDescent="0.25">
      <c r="F284" s="10">
        <v>44406</v>
      </c>
      <c r="H284">
        <v>142.52603149414063</v>
      </c>
      <c r="J284">
        <v>1.579205101019673</v>
      </c>
    </row>
    <row r="285" spans="6:10" x14ac:dyDescent="0.25">
      <c r="F285" s="10">
        <v>44407</v>
      </c>
      <c r="H285">
        <v>142.74137878417969</v>
      </c>
      <c r="J285">
        <v>1.581591174183679</v>
      </c>
    </row>
    <row r="286" spans="6:10" x14ac:dyDescent="0.25">
      <c r="F286" s="10">
        <v>44410</v>
      </c>
      <c r="H286">
        <v>142.40861511230469</v>
      </c>
      <c r="J286">
        <v>1.5779041137740819</v>
      </c>
    </row>
    <row r="287" spans="6:10" x14ac:dyDescent="0.25">
      <c r="F287" s="10">
        <v>44411</v>
      </c>
      <c r="H287">
        <v>144.20927429199219</v>
      </c>
      <c r="J287">
        <v>1.5978556281181637</v>
      </c>
    </row>
    <row r="288" spans="6:10" x14ac:dyDescent="0.25">
      <c r="F288" s="10">
        <v>44412</v>
      </c>
      <c r="H288">
        <v>143.80802917480469</v>
      </c>
      <c r="J288">
        <v>1.5934097852838476</v>
      </c>
    </row>
    <row r="289" spans="6:10" x14ac:dyDescent="0.25">
      <c r="F289" s="10">
        <v>44413</v>
      </c>
      <c r="H289">
        <v>143.91572570800781</v>
      </c>
      <c r="J289">
        <v>1.5946030754696023</v>
      </c>
    </row>
    <row r="290" spans="6:10" x14ac:dyDescent="0.25">
      <c r="F290" s="10">
        <v>44414</v>
      </c>
      <c r="H290">
        <v>143.22964477539063</v>
      </c>
      <c r="J290">
        <v>1.5870012184814917</v>
      </c>
    </row>
    <row r="291" spans="6:10" x14ac:dyDescent="0.25">
      <c r="F291" s="10">
        <v>44417</v>
      </c>
      <c r="H291">
        <v>143.18061828613281</v>
      </c>
      <c r="J291">
        <v>1.5864579992456134</v>
      </c>
    </row>
    <row r="292" spans="6:10" x14ac:dyDescent="0.25">
      <c r="F292" s="10">
        <v>44418</v>
      </c>
      <c r="H292">
        <v>142.70042419433594</v>
      </c>
      <c r="J292">
        <v>1.5811373925375236</v>
      </c>
    </row>
    <row r="293" spans="6:10" x14ac:dyDescent="0.25">
      <c r="F293" s="10">
        <v>44419</v>
      </c>
      <c r="H293">
        <v>142.95524597167969</v>
      </c>
      <c r="J293">
        <v>1.5839608476384166</v>
      </c>
    </row>
    <row r="294" spans="6:10" x14ac:dyDescent="0.25">
      <c r="F294" s="10">
        <v>44420</v>
      </c>
      <c r="H294">
        <v>145.92488098144531</v>
      </c>
      <c r="J294">
        <v>1.6168647509213847</v>
      </c>
    </row>
    <row r="295" spans="6:10" x14ac:dyDescent="0.25">
      <c r="F295" s="10">
        <v>44421</v>
      </c>
      <c r="H295">
        <v>146.13070678710938</v>
      </c>
      <c r="J295">
        <v>1.6191453249247347</v>
      </c>
    </row>
    <row r="296" spans="6:10" x14ac:dyDescent="0.25">
      <c r="F296" s="10">
        <v>44424</v>
      </c>
      <c r="H296">
        <v>148.11045837402344</v>
      </c>
      <c r="J296">
        <v>1.6410812040903242</v>
      </c>
    </row>
    <row r="297" spans="6:10" x14ac:dyDescent="0.25">
      <c r="F297" s="10">
        <v>44425</v>
      </c>
      <c r="H297">
        <v>147.19898986816406</v>
      </c>
      <c r="J297">
        <v>1.630982026425849</v>
      </c>
    </row>
    <row r="298" spans="6:10" x14ac:dyDescent="0.25">
      <c r="F298" s="10">
        <v>44426</v>
      </c>
      <c r="H298">
        <v>143.44525146484375</v>
      </c>
      <c r="J298">
        <v>1.589390165821349</v>
      </c>
    </row>
    <row r="299" spans="6:10" x14ac:dyDescent="0.25">
      <c r="F299" s="10">
        <v>44427</v>
      </c>
      <c r="H299">
        <v>143.77848815917969</v>
      </c>
      <c r="J299">
        <v>1.5930824673751454</v>
      </c>
    </row>
    <row r="300" spans="6:10" x14ac:dyDescent="0.25">
      <c r="F300" s="10">
        <v>44428</v>
      </c>
      <c r="H300">
        <v>145.23883056640625</v>
      </c>
      <c r="J300">
        <v>1.6092632320716096</v>
      </c>
    </row>
    <row r="301" spans="6:10" x14ac:dyDescent="0.25">
      <c r="F301" s="10">
        <v>44431</v>
      </c>
      <c r="H301">
        <v>146.72854614257813</v>
      </c>
      <c r="J301">
        <v>1.6257694549159312</v>
      </c>
    </row>
    <row r="302" spans="6:10" x14ac:dyDescent="0.25">
      <c r="F302" s="10">
        <v>44432</v>
      </c>
      <c r="H302">
        <v>146.64031982421875</v>
      </c>
      <c r="J302">
        <v>1.6247918969881849</v>
      </c>
    </row>
    <row r="303" spans="6:10" x14ac:dyDescent="0.25">
      <c r="F303" s="10">
        <v>44433</v>
      </c>
      <c r="H303">
        <v>145.40542602539063</v>
      </c>
      <c r="J303">
        <v>1.6111091292447561</v>
      </c>
    </row>
    <row r="304" spans="6:10" x14ac:dyDescent="0.25">
      <c r="F304" s="10">
        <v>44434</v>
      </c>
      <c r="H304">
        <v>144.60176086425781</v>
      </c>
      <c r="J304">
        <v>1.6022044252502097</v>
      </c>
    </row>
    <row r="305" spans="6:10" x14ac:dyDescent="0.25">
      <c r="F305" s="10">
        <v>44435</v>
      </c>
      <c r="H305">
        <v>145.64067077636719</v>
      </c>
      <c r="J305">
        <v>1.6137156686034666</v>
      </c>
    </row>
    <row r="306" spans="6:10" x14ac:dyDescent="0.25">
      <c r="F306" s="10">
        <v>44438</v>
      </c>
      <c r="H306">
        <v>150.07064819335938</v>
      </c>
      <c r="J306">
        <v>1.6628003365828992</v>
      </c>
    </row>
    <row r="307" spans="6:10" x14ac:dyDescent="0.25">
      <c r="F307" s="10">
        <v>44439</v>
      </c>
      <c r="H307">
        <v>148.80636596679688</v>
      </c>
      <c r="J307">
        <v>1.6487919416224452</v>
      </c>
    </row>
    <row r="308" spans="6:10" x14ac:dyDescent="0.25">
      <c r="F308" s="10">
        <v>44440</v>
      </c>
      <c r="H308">
        <v>149.47280883789063</v>
      </c>
      <c r="J308">
        <v>1.6561762065917025</v>
      </c>
    </row>
    <row r="309" spans="6:10" x14ac:dyDescent="0.25">
      <c r="F309" s="10">
        <v>44441</v>
      </c>
      <c r="H309">
        <v>150.590087890625</v>
      </c>
      <c r="J309">
        <v>1.66855578919036</v>
      </c>
    </row>
    <row r="310" spans="6:10" x14ac:dyDescent="0.25">
      <c r="F310" s="10">
        <v>44442</v>
      </c>
      <c r="H310">
        <v>151.22712707519531</v>
      </c>
      <c r="J310">
        <v>1.6756142578734243</v>
      </c>
    </row>
    <row r="311" spans="6:10" x14ac:dyDescent="0.25">
      <c r="F311" s="10">
        <v>44446</v>
      </c>
      <c r="H311">
        <v>153.56951904296875</v>
      </c>
      <c r="J311">
        <v>1.7015682348790031</v>
      </c>
    </row>
    <row r="312" spans="6:10" x14ac:dyDescent="0.25">
      <c r="F312" s="10">
        <v>44447</v>
      </c>
      <c r="H312">
        <v>152.02101135253906</v>
      </c>
      <c r="J312">
        <v>1.6844105885314635</v>
      </c>
    </row>
    <row r="313" spans="6:10" x14ac:dyDescent="0.25">
      <c r="F313" s="10">
        <v>44448</v>
      </c>
      <c r="H313">
        <v>151.001708984375</v>
      </c>
      <c r="J313">
        <v>1.6731165990587242</v>
      </c>
    </row>
    <row r="314" spans="6:10" x14ac:dyDescent="0.25">
      <c r="F314" s="10">
        <v>44449</v>
      </c>
      <c r="H314">
        <v>146.00326538085938</v>
      </c>
      <c r="J314">
        <v>1.6177332592359528</v>
      </c>
    </row>
    <row r="315" spans="6:10" x14ac:dyDescent="0.25">
      <c r="F315" s="10">
        <v>44452</v>
      </c>
      <c r="H315">
        <v>146.57174682617188</v>
      </c>
      <c r="J315">
        <v>1.6240321001484597</v>
      </c>
    </row>
    <row r="316" spans="6:10" x14ac:dyDescent="0.25">
      <c r="F316" s="10">
        <v>44453</v>
      </c>
      <c r="H316">
        <v>145.17022705078125</v>
      </c>
      <c r="J316">
        <v>1.6085030970935488</v>
      </c>
    </row>
    <row r="317" spans="6:10" x14ac:dyDescent="0.25">
      <c r="F317" s="10">
        <v>44454</v>
      </c>
      <c r="H317">
        <v>146.06208801269531</v>
      </c>
      <c r="J317">
        <v>1.6183850208775061</v>
      </c>
    </row>
    <row r="318" spans="6:10" x14ac:dyDescent="0.25">
      <c r="F318" s="10">
        <v>44455</v>
      </c>
      <c r="H318">
        <v>145.82687377929688</v>
      </c>
      <c r="J318">
        <v>1.6157788196571312</v>
      </c>
    </row>
    <row r="319" spans="6:10" x14ac:dyDescent="0.25">
      <c r="F319" s="10">
        <v>44456</v>
      </c>
      <c r="H319">
        <v>143.15126037597656</v>
      </c>
      <c r="J319">
        <v>1.5861327101669236</v>
      </c>
    </row>
    <row r="320" spans="6:10" x14ac:dyDescent="0.25">
      <c r="F320" s="10">
        <v>44459</v>
      </c>
      <c r="H320">
        <v>140.09336853027344</v>
      </c>
      <c r="J320">
        <v>1.5522509108178737</v>
      </c>
    </row>
    <row r="321" spans="6:10" x14ac:dyDescent="0.25">
      <c r="F321" s="10">
        <v>44460</v>
      </c>
      <c r="H321">
        <v>140.57365417480469</v>
      </c>
      <c r="J321">
        <v>1.5575725319409699</v>
      </c>
    </row>
    <row r="322" spans="6:10" x14ac:dyDescent="0.25">
      <c r="F322" s="10">
        <v>44461</v>
      </c>
      <c r="H322">
        <v>142.9454345703125</v>
      </c>
      <c r="J322">
        <v>1.5838521361635738</v>
      </c>
    </row>
    <row r="323" spans="6:10" x14ac:dyDescent="0.25">
      <c r="F323" s="10">
        <v>44462</v>
      </c>
      <c r="H323">
        <v>143.9058837890625</v>
      </c>
      <c r="J323">
        <v>1.5944940258564242</v>
      </c>
    </row>
    <row r="324" spans="6:10" x14ac:dyDescent="0.25">
      <c r="F324" s="10">
        <v>44463</v>
      </c>
      <c r="H324">
        <v>143.99415588378906</v>
      </c>
      <c r="J324">
        <v>1.5954720909916735</v>
      </c>
    </row>
    <row r="325" spans="6:10" x14ac:dyDescent="0.25">
      <c r="F325" s="10">
        <v>44466</v>
      </c>
      <c r="H325">
        <v>142.4749755859375</v>
      </c>
      <c r="J325">
        <v>1.5786393955844882</v>
      </c>
    </row>
    <row r="326" spans="6:10" x14ac:dyDescent="0.25">
      <c r="F326" s="10">
        <v>44467</v>
      </c>
      <c r="H326">
        <v>139.0838623046875</v>
      </c>
      <c r="J326">
        <v>1.5410654637508097</v>
      </c>
    </row>
    <row r="327" spans="6:10" x14ac:dyDescent="0.25">
      <c r="F327" s="10">
        <v>44468</v>
      </c>
      <c r="H327">
        <v>139.98553466796875</v>
      </c>
      <c r="J327">
        <v>1.5510560990096096</v>
      </c>
    </row>
    <row r="328" spans="6:10" x14ac:dyDescent="0.25">
      <c r="F328" s="10">
        <v>44469</v>
      </c>
      <c r="H328">
        <v>138.68203735351563</v>
      </c>
      <c r="J328">
        <v>1.5366131962881202</v>
      </c>
    </row>
    <row r="329" spans="6:10" x14ac:dyDescent="0.25">
      <c r="F329" s="10">
        <v>44470</v>
      </c>
      <c r="H329">
        <v>139.80917358398438</v>
      </c>
      <c r="J329">
        <v>1.5491019975691236</v>
      </c>
    </row>
    <row r="330" spans="6:10" x14ac:dyDescent="0.25">
      <c r="F330" s="10">
        <v>44473</v>
      </c>
      <c r="H330">
        <v>136.36906433105469</v>
      </c>
      <c r="J330">
        <v>1.5109851846379021</v>
      </c>
    </row>
    <row r="331" spans="6:10" x14ac:dyDescent="0.25">
      <c r="F331" s="10">
        <v>44474</v>
      </c>
      <c r="H331">
        <v>138.29983520507813</v>
      </c>
      <c r="J331">
        <v>1.5323783517751164</v>
      </c>
    </row>
    <row r="332" spans="6:10" x14ac:dyDescent="0.25">
      <c r="F332" s="10">
        <v>44475</v>
      </c>
      <c r="H332">
        <v>139.17210388183594</v>
      </c>
      <c r="J332">
        <v>1.5420431907477237</v>
      </c>
    </row>
    <row r="333" spans="6:10" x14ac:dyDescent="0.25">
      <c r="F333" s="10">
        <v>44476</v>
      </c>
      <c r="H333">
        <v>140.43637084960938</v>
      </c>
      <c r="J333">
        <v>1.5560514166390098</v>
      </c>
    </row>
    <row r="334" spans="6:10" x14ac:dyDescent="0.25">
      <c r="F334" s="10">
        <v>44477</v>
      </c>
      <c r="H334">
        <v>140.05415344238281</v>
      </c>
      <c r="J334">
        <v>1.5518164030568382</v>
      </c>
    </row>
    <row r="335" spans="6:10" x14ac:dyDescent="0.25">
      <c r="F335" s="10">
        <v>44480</v>
      </c>
      <c r="H335">
        <v>139.96597290039063</v>
      </c>
      <c r="J335">
        <v>1.5508393523365951</v>
      </c>
    </row>
    <row r="336" spans="6:10" x14ac:dyDescent="0.25">
      <c r="F336" s="10">
        <v>44481</v>
      </c>
      <c r="H336">
        <v>138.69183349609375</v>
      </c>
      <c r="J336">
        <v>1.5367217386937952</v>
      </c>
    </row>
    <row r="337" spans="6:10" x14ac:dyDescent="0.25">
      <c r="F337" s="10">
        <v>44482</v>
      </c>
      <c r="H337">
        <v>138.10379028320313</v>
      </c>
      <c r="J337">
        <v>1.5302061511082738</v>
      </c>
    </row>
    <row r="338" spans="6:10" x14ac:dyDescent="0.25">
      <c r="F338" s="10">
        <v>44483</v>
      </c>
      <c r="H338">
        <v>140.89704895019531</v>
      </c>
      <c r="J338">
        <v>1.5611557838815879</v>
      </c>
    </row>
    <row r="339" spans="6:10" x14ac:dyDescent="0.25">
      <c r="F339" s="10">
        <v>44484</v>
      </c>
      <c r="H339">
        <v>141.95555114746094</v>
      </c>
      <c r="J339">
        <v>1.5728841120461952</v>
      </c>
    </row>
    <row r="340" spans="6:10" x14ac:dyDescent="0.25">
      <c r="F340" s="10">
        <v>44487</v>
      </c>
      <c r="H340">
        <v>143.6314697265625</v>
      </c>
      <c r="J340">
        <v>1.5914534859441811</v>
      </c>
    </row>
    <row r="341" spans="6:10" x14ac:dyDescent="0.25">
      <c r="F341" s="10">
        <v>44488</v>
      </c>
      <c r="H341">
        <v>145.79745483398438</v>
      </c>
      <c r="J341">
        <v>1.6154528543017705</v>
      </c>
    </row>
    <row r="342" spans="6:10" x14ac:dyDescent="0.25">
      <c r="F342" s="10">
        <v>44489</v>
      </c>
      <c r="H342">
        <v>146.28752136230469</v>
      </c>
      <c r="J342">
        <v>1.620882848761374</v>
      </c>
    </row>
    <row r="343" spans="6:10" x14ac:dyDescent="0.25">
      <c r="F343" s="10">
        <v>44490</v>
      </c>
      <c r="H343">
        <v>146.50312805175781</v>
      </c>
      <c r="J343">
        <v>1.6232717961012311</v>
      </c>
    </row>
    <row r="344" spans="6:10" x14ac:dyDescent="0.25">
      <c r="F344" s="10">
        <v>44491</v>
      </c>
      <c r="H344">
        <v>145.72885131835938</v>
      </c>
      <c r="J344">
        <v>1.6146927193237097</v>
      </c>
    </row>
    <row r="345" spans="6:10" x14ac:dyDescent="0.25">
      <c r="F345" s="10">
        <v>44494</v>
      </c>
      <c r="H345">
        <v>145.67985534667969</v>
      </c>
      <c r="J345">
        <v>1.614149838226167</v>
      </c>
    </row>
    <row r="346" spans="6:10" x14ac:dyDescent="0.25">
      <c r="F346" s="10">
        <v>44495</v>
      </c>
      <c r="H346">
        <v>146.34634399414063</v>
      </c>
      <c r="J346">
        <v>1.6215346104029273</v>
      </c>
    </row>
    <row r="347" spans="6:10" x14ac:dyDescent="0.25">
      <c r="F347" s="10">
        <v>44496</v>
      </c>
      <c r="H347">
        <v>145.88566589355469</v>
      </c>
      <c r="J347">
        <v>1.616430243160349</v>
      </c>
    </row>
    <row r="348" spans="6:10" x14ac:dyDescent="0.25">
      <c r="F348" s="10">
        <v>44497</v>
      </c>
      <c r="H348">
        <v>149.53158569335938</v>
      </c>
      <c r="J348">
        <v>1.6568274610257527</v>
      </c>
    </row>
    <row r="349" spans="6:10" x14ac:dyDescent="0.25">
      <c r="F349" s="10">
        <v>44498</v>
      </c>
      <c r="H349">
        <v>146.8167724609375</v>
      </c>
      <c r="J349">
        <v>1.6267470128436774</v>
      </c>
    </row>
    <row r="350" spans="6:10" x14ac:dyDescent="0.25">
      <c r="F350" s="10">
        <v>44501</v>
      </c>
      <c r="H350">
        <v>145.99346923828125</v>
      </c>
      <c r="J350">
        <v>1.6176247168302778</v>
      </c>
    </row>
    <row r="351" spans="6:10" x14ac:dyDescent="0.25">
      <c r="F351" s="10">
        <v>44502</v>
      </c>
      <c r="H351">
        <v>147.0323486328125</v>
      </c>
      <c r="J351">
        <v>1.6291356220451993</v>
      </c>
    </row>
    <row r="352" spans="6:10" x14ac:dyDescent="0.25">
      <c r="F352" s="10">
        <v>44503</v>
      </c>
      <c r="H352">
        <v>148.47311401367188</v>
      </c>
      <c r="J352">
        <v>1.6450994709994811</v>
      </c>
    </row>
    <row r="353" spans="6:10" x14ac:dyDescent="0.25">
      <c r="F353" s="10">
        <v>44504</v>
      </c>
      <c r="H353">
        <v>147.95364379882813</v>
      </c>
      <c r="J353">
        <v>1.6393436802536849</v>
      </c>
    </row>
    <row r="354" spans="6:10" x14ac:dyDescent="0.25">
      <c r="F354" s="10">
        <v>44505</v>
      </c>
      <c r="H354">
        <v>148.48367309570313</v>
      </c>
      <c r="J354">
        <v>1.6452164668635421</v>
      </c>
    </row>
    <row r="355" spans="6:10" x14ac:dyDescent="0.25">
      <c r="F355" s="10">
        <v>44508</v>
      </c>
      <c r="H355">
        <v>147.65922546386719</v>
      </c>
      <c r="J355">
        <v>1.6360814906625634</v>
      </c>
    </row>
    <row r="356" spans="6:10" x14ac:dyDescent="0.25">
      <c r="F356" s="10">
        <v>44509</v>
      </c>
      <c r="H356">
        <v>148.02235412597656</v>
      </c>
      <c r="J356">
        <v>1.6401049987159197</v>
      </c>
    </row>
    <row r="357" spans="6:10" x14ac:dyDescent="0.25">
      <c r="F357" s="10">
        <v>44510</v>
      </c>
      <c r="H357">
        <v>145.18580627441406</v>
      </c>
      <c r="J357">
        <v>1.6086757167137891</v>
      </c>
    </row>
    <row r="358" spans="6:10" x14ac:dyDescent="0.25">
      <c r="F358" s="10">
        <v>44511</v>
      </c>
      <c r="H358">
        <v>145.13670349121094</v>
      </c>
      <c r="J358">
        <v>1.6081316521320721</v>
      </c>
    </row>
    <row r="359" spans="6:10" x14ac:dyDescent="0.25">
      <c r="F359" s="10">
        <v>44512</v>
      </c>
      <c r="H359">
        <v>147.21751403808594</v>
      </c>
      <c r="J359">
        <v>1.6311872763954589</v>
      </c>
    </row>
    <row r="360" spans="6:10" x14ac:dyDescent="0.25">
      <c r="F360" s="10">
        <v>44515</v>
      </c>
      <c r="H360">
        <v>147.22732543945313</v>
      </c>
      <c r="J360">
        <v>1.6312959878703017</v>
      </c>
    </row>
    <row r="361" spans="6:10" x14ac:dyDescent="0.25">
      <c r="F361" s="10">
        <v>44516</v>
      </c>
      <c r="H361">
        <v>148.20884704589844</v>
      </c>
      <c r="J361">
        <v>1.6421713620837708</v>
      </c>
    </row>
    <row r="362" spans="6:10" x14ac:dyDescent="0.25">
      <c r="F362" s="10">
        <v>44517</v>
      </c>
      <c r="H362">
        <v>150.65281677246094</v>
      </c>
      <c r="J362">
        <v>1.6692508325388491</v>
      </c>
    </row>
    <row r="363" spans="6:10" x14ac:dyDescent="0.25">
      <c r="F363" s="10">
        <v>44518</v>
      </c>
      <c r="H363">
        <v>154.95187377929688</v>
      </c>
      <c r="J363">
        <v>1.7168848870592599</v>
      </c>
    </row>
    <row r="364" spans="6:10" x14ac:dyDescent="0.25">
      <c r="F364" s="10">
        <v>44519</v>
      </c>
      <c r="H364">
        <v>157.58230590820313</v>
      </c>
      <c r="J364">
        <v>1.7460303827438539</v>
      </c>
    </row>
    <row r="365" spans="6:10" x14ac:dyDescent="0.25">
      <c r="F365" s="10">
        <v>44522</v>
      </c>
      <c r="H365">
        <v>158.04362487792969</v>
      </c>
      <c r="J365">
        <v>1.7511418508914764</v>
      </c>
    </row>
    <row r="366" spans="6:10" x14ac:dyDescent="0.25">
      <c r="F366" s="10">
        <v>44523</v>
      </c>
      <c r="H366">
        <v>158.42642211914063</v>
      </c>
      <c r="J366">
        <v>1.7553832891020213</v>
      </c>
    </row>
    <row r="367" spans="6:10" x14ac:dyDescent="0.25">
      <c r="F367" s="10">
        <v>44524</v>
      </c>
      <c r="H367">
        <v>158.94664001464844</v>
      </c>
      <c r="J367">
        <v>1.7611473642370357</v>
      </c>
    </row>
    <row r="368" spans="6:10" x14ac:dyDescent="0.25">
      <c r="F368" s="10">
        <v>44526</v>
      </c>
      <c r="H368">
        <v>153.91145324707031</v>
      </c>
      <c r="J368">
        <v>1.7053569058583988</v>
      </c>
    </row>
    <row r="369" spans="6:10" x14ac:dyDescent="0.25">
      <c r="F369" s="10">
        <v>44529</v>
      </c>
      <c r="H369">
        <v>157.27806091308594</v>
      </c>
      <c r="J369">
        <v>1.742659312608722</v>
      </c>
    </row>
    <row r="370" spans="6:10" x14ac:dyDescent="0.25">
      <c r="F370" s="10">
        <v>44530</v>
      </c>
      <c r="H370">
        <v>162.2445068359375</v>
      </c>
      <c r="J370">
        <v>1.7976881143867887</v>
      </c>
    </row>
    <row r="371" spans="6:10" x14ac:dyDescent="0.25">
      <c r="F371" s="10">
        <v>44531</v>
      </c>
      <c r="H371">
        <v>161.72433471679688</v>
      </c>
      <c r="J371">
        <v>1.7919245464592775</v>
      </c>
    </row>
    <row r="372" spans="6:10" x14ac:dyDescent="0.25">
      <c r="F372" s="10">
        <v>44532</v>
      </c>
      <c r="H372">
        <v>160.73298645019531</v>
      </c>
      <c r="J372">
        <v>1.7809402917017978</v>
      </c>
    </row>
    <row r="373" spans="6:10" x14ac:dyDescent="0.25">
      <c r="F373" s="10">
        <v>44533</v>
      </c>
      <c r="H373">
        <v>158.84844970703125</v>
      </c>
      <c r="J373">
        <v>1.7600594041427695</v>
      </c>
    </row>
    <row r="374" spans="6:10" x14ac:dyDescent="0.25">
      <c r="F374" s="10">
        <v>44536</v>
      </c>
      <c r="H374">
        <v>162.26417541503906</v>
      </c>
      <c r="J374">
        <v>1.7979060445439774</v>
      </c>
    </row>
    <row r="375" spans="6:10" x14ac:dyDescent="0.25">
      <c r="F375" s="10">
        <v>44537</v>
      </c>
      <c r="H375">
        <v>168.01583862304688</v>
      </c>
      <c r="J375">
        <v>1.8616351456928193</v>
      </c>
    </row>
    <row r="376" spans="6:10" x14ac:dyDescent="0.25">
      <c r="F376" s="10">
        <v>44538</v>
      </c>
      <c r="H376">
        <v>171.84376525878906</v>
      </c>
      <c r="J376">
        <v>1.904049020590765</v>
      </c>
    </row>
    <row r="377" spans="6:10" x14ac:dyDescent="0.25">
      <c r="F377" s="10">
        <v>44539</v>
      </c>
      <c r="H377">
        <v>171.33334350585938</v>
      </c>
      <c r="J377">
        <v>1.8983934878614255</v>
      </c>
    </row>
    <row r="378" spans="6:10" x14ac:dyDescent="0.25">
      <c r="F378" s="10">
        <v>44540</v>
      </c>
      <c r="H378">
        <v>176.13299560546875</v>
      </c>
      <c r="J378">
        <v>1.9515741945671652</v>
      </c>
    </row>
    <row r="379" spans="6:10" x14ac:dyDescent="0.25">
      <c r="F379" s="10">
        <v>44543</v>
      </c>
      <c r="H379">
        <v>172.49154663085938</v>
      </c>
      <c r="J379">
        <v>1.911226513967903</v>
      </c>
    </row>
    <row r="380" spans="6:10" x14ac:dyDescent="0.25">
      <c r="F380" s="10">
        <v>44544</v>
      </c>
      <c r="H380">
        <v>171.10763549804688</v>
      </c>
      <c r="J380">
        <v>1.8958926167325387</v>
      </c>
    </row>
    <row r="381" spans="6:10" x14ac:dyDescent="0.25">
      <c r="F381" s="10">
        <v>44545</v>
      </c>
      <c r="H381">
        <v>175.98577880859375</v>
      </c>
      <c r="J381">
        <v>1.9499430152370205</v>
      </c>
    </row>
    <row r="382" spans="6:10" x14ac:dyDescent="0.25">
      <c r="F382" s="10">
        <v>44546</v>
      </c>
      <c r="H382">
        <v>169.07586669921875</v>
      </c>
      <c r="J382">
        <v>1.8733803807741982</v>
      </c>
    </row>
    <row r="383" spans="6:10" x14ac:dyDescent="0.25">
      <c r="F383" s="10">
        <v>44547</v>
      </c>
      <c r="H383">
        <v>167.97654724121094</v>
      </c>
      <c r="J383">
        <v>1.8611997925859451</v>
      </c>
    </row>
    <row r="384" spans="6:10" x14ac:dyDescent="0.25">
      <c r="F384" s="10">
        <v>44550</v>
      </c>
      <c r="H384">
        <v>166.61225891113281</v>
      </c>
      <c r="J384">
        <v>1.8460833183002665</v>
      </c>
    </row>
    <row r="385" spans="6:10" x14ac:dyDescent="0.25">
      <c r="F385" s="10">
        <v>44551</v>
      </c>
      <c r="H385">
        <v>169.79240417480469</v>
      </c>
      <c r="J385">
        <v>1.8813196998210742</v>
      </c>
    </row>
    <row r="386" spans="6:10" x14ac:dyDescent="0.25">
      <c r="F386" s="10">
        <v>44552</v>
      </c>
      <c r="H386">
        <v>172.39340209960938</v>
      </c>
      <c r="J386">
        <v>1.9101390610811397</v>
      </c>
    </row>
    <row r="387" spans="6:10" x14ac:dyDescent="0.25">
      <c r="F387" s="10">
        <v>44553</v>
      </c>
      <c r="H387">
        <v>173.02159118652344</v>
      </c>
      <c r="J387">
        <v>1.9170994696469277</v>
      </c>
    </row>
    <row r="388" spans="6:10" x14ac:dyDescent="0.25">
      <c r="F388" s="10">
        <v>44557</v>
      </c>
      <c r="H388">
        <v>176.99668884277344</v>
      </c>
      <c r="J388">
        <v>1.9611440166675149</v>
      </c>
    </row>
    <row r="389" spans="6:10" x14ac:dyDescent="0.25">
      <c r="F389" s="10">
        <v>44558</v>
      </c>
      <c r="H389">
        <v>175.9759521484375</v>
      </c>
      <c r="J389">
        <v>1.9498341346930101</v>
      </c>
    </row>
    <row r="390" spans="6:10" x14ac:dyDescent="0.25">
      <c r="F390" s="10">
        <v>44559</v>
      </c>
      <c r="H390">
        <v>176.06431579589844</v>
      </c>
      <c r="J390">
        <v>1.9508132142432659</v>
      </c>
    </row>
    <row r="391" spans="6:10" x14ac:dyDescent="0.25">
      <c r="F391" s="10">
        <v>44560</v>
      </c>
      <c r="H391">
        <v>174.90608215332031</v>
      </c>
      <c r="J391">
        <v>1.9379798499984531</v>
      </c>
    </row>
    <row r="392" spans="6:10" x14ac:dyDescent="0.25">
      <c r="F392" s="10">
        <v>44561</v>
      </c>
      <c r="H392">
        <v>174.28773498535156</v>
      </c>
      <c r="J392">
        <v>1.9311284910458433</v>
      </c>
    </row>
    <row r="393" spans="6:10" x14ac:dyDescent="0.25">
      <c r="F393" s="10">
        <v>44564</v>
      </c>
      <c r="H393">
        <v>178.64566040039063</v>
      </c>
      <c r="J393">
        <v>1.9794148144153105</v>
      </c>
    </row>
    <row r="394" spans="6:10" x14ac:dyDescent="0.25">
      <c r="F394" s="10">
        <v>44565</v>
      </c>
      <c r="H394">
        <v>176.37837219238281</v>
      </c>
      <c r="J394">
        <v>1.9542929958532405</v>
      </c>
    </row>
    <row r="395" spans="6:10" x14ac:dyDescent="0.25">
      <c r="F395" s="10">
        <v>44566</v>
      </c>
      <c r="H395">
        <v>171.68666076660156</v>
      </c>
      <c r="J395">
        <v>1.902308284439939</v>
      </c>
    </row>
    <row r="396" spans="6:10" x14ac:dyDescent="0.25">
      <c r="F396" s="10">
        <v>44567</v>
      </c>
      <c r="H396">
        <v>168.82069396972656</v>
      </c>
      <c r="J396">
        <v>1.8705530370824477</v>
      </c>
    </row>
    <row r="397" spans="6:10" x14ac:dyDescent="0.25">
      <c r="F397" s="10">
        <v>44568</v>
      </c>
      <c r="H397">
        <v>168.987548828125</v>
      </c>
      <c r="J397">
        <v>1.8724018084314455</v>
      </c>
    </row>
    <row r="398" spans="6:10" x14ac:dyDescent="0.25">
      <c r="F398" s="10">
        <v>44571</v>
      </c>
      <c r="H398">
        <v>169.00718688964844</v>
      </c>
      <c r="J398">
        <v>1.8726194004502987</v>
      </c>
    </row>
    <row r="399" spans="6:10" x14ac:dyDescent="0.25">
      <c r="F399" s="10">
        <v>44572</v>
      </c>
      <c r="H399">
        <v>171.84376525878906</v>
      </c>
      <c r="J399">
        <v>1.904049020590765</v>
      </c>
    </row>
    <row r="400" spans="6:10" x14ac:dyDescent="0.25">
      <c r="F400" s="10">
        <v>44573</v>
      </c>
      <c r="H400">
        <v>172.28543090820313</v>
      </c>
      <c r="J400">
        <v>1.9089427276503663</v>
      </c>
    </row>
    <row r="401" spans="6:10" x14ac:dyDescent="0.25">
      <c r="F401" s="10">
        <v>44574</v>
      </c>
      <c r="H401">
        <v>169.00718688964844</v>
      </c>
      <c r="J401">
        <v>1.8726194004502987</v>
      </c>
    </row>
    <row r="402" spans="6:10" x14ac:dyDescent="0.25">
      <c r="F402" s="10">
        <v>44575</v>
      </c>
      <c r="H402">
        <v>169.87092590332031</v>
      </c>
      <c r="J402">
        <v>1.8821897297581516</v>
      </c>
    </row>
    <row r="403" spans="6:10" x14ac:dyDescent="0.25">
      <c r="F403" s="10">
        <v>44579</v>
      </c>
      <c r="H403">
        <v>166.66134643554688</v>
      </c>
      <c r="J403">
        <v>1.8466272138128157</v>
      </c>
    </row>
    <row r="404" spans="6:10" x14ac:dyDescent="0.25">
      <c r="F404" s="10">
        <v>44580</v>
      </c>
      <c r="H404">
        <v>163.1573486328125</v>
      </c>
      <c r="J404">
        <v>1.8078025082763585</v>
      </c>
    </row>
    <row r="405" spans="6:10" x14ac:dyDescent="0.25">
      <c r="F405" s="10">
        <v>44581</v>
      </c>
      <c r="H405">
        <v>161.46910095214844</v>
      </c>
      <c r="J405">
        <v>1.789096526490856</v>
      </c>
    </row>
    <row r="406" spans="6:10" x14ac:dyDescent="0.25">
      <c r="F406" s="10">
        <v>44582</v>
      </c>
      <c r="H406">
        <v>159.407958984375</v>
      </c>
      <c r="J406">
        <v>1.766258832384658</v>
      </c>
    </row>
    <row r="407" spans="6:10" x14ac:dyDescent="0.25">
      <c r="F407" s="10">
        <v>44585</v>
      </c>
      <c r="H407">
        <v>158.63255310058594</v>
      </c>
      <c r="J407">
        <v>1.7576672444887256</v>
      </c>
    </row>
    <row r="408" spans="6:10" x14ac:dyDescent="0.25">
      <c r="F408" s="10">
        <v>44586</v>
      </c>
      <c r="H408">
        <v>156.8265380859375</v>
      </c>
      <c r="J408">
        <v>1.7376563868667747</v>
      </c>
    </row>
    <row r="409" spans="6:10" x14ac:dyDescent="0.25">
      <c r="F409" s="10">
        <v>44587</v>
      </c>
      <c r="H409">
        <v>156.73820495605469</v>
      </c>
      <c r="J409">
        <v>1.7366776454548545</v>
      </c>
    </row>
    <row r="410" spans="6:10" x14ac:dyDescent="0.25">
      <c r="F410" s="10">
        <v>44588</v>
      </c>
      <c r="H410">
        <v>156.27690124511719</v>
      </c>
      <c r="J410">
        <v>1.7315663463763997</v>
      </c>
    </row>
    <row r="411" spans="6:10" x14ac:dyDescent="0.25">
      <c r="F411" s="10">
        <v>44589</v>
      </c>
      <c r="H411">
        <v>167.18156433105469</v>
      </c>
      <c r="J411">
        <v>1.8523912889478302</v>
      </c>
    </row>
    <row r="412" spans="6:10" x14ac:dyDescent="0.25">
      <c r="F412" s="10">
        <v>44592</v>
      </c>
      <c r="H412">
        <v>171.54928588867188</v>
      </c>
      <c r="J412">
        <v>1.9007861547229725</v>
      </c>
    </row>
    <row r="413" spans="6:10" x14ac:dyDescent="0.25">
      <c r="F413" s="10">
        <v>44593</v>
      </c>
      <c r="H413">
        <v>171.38243103027344</v>
      </c>
      <c r="J413">
        <v>1.8989373833739747</v>
      </c>
    </row>
    <row r="414" spans="6:10" x14ac:dyDescent="0.25">
      <c r="F414" s="10">
        <v>44594</v>
      </c>
      <c r="H414">
        <v>172.58969116210938</v>
      </c>
      <c r="J414">
        <v>1.912313966854666</v>
      </c>
    </row>
    <row r="415" spans="6:10" x14ac:dyDescent="0.25">
      <c r="F415" s="10">
        <v>44595</v>
      </c>
      <c r="H415">
        <v>169.70404052734375</v>
      </c>
      <c r="J415">
        <v>1.8803406202708184</v>
      </c>
    </row>
    <row r="416" spans="6:10" x14ac:dyDescent="0.25">
      <c r="F416" s="10">
        <v>44596</v>
      </c>
      <c r="H416">
        <v>169.41903686523438</v>
      </c>
      <c r="J416">
        <v>1.877182746356179</v>
      </c>
    </row>
    <row r="417" spans="6:10" x14ac:dyDescent="0.25">
      <c r="F417" s="10">
        <v>44599</v>
      </c>
      <c r="H417">
        <v>168.70164489746094</v>
      </c>
      <c r="J417">
        <v>1.8692339594359109</v>
      </c>
    </row>
    <row r="418" spans="6:10" x14ac:dyDescent="0.25">
      <c r="F418" s="10">
        <v>44600</v>
      </c>
      <c r="H418">
        <v>171.81698608398438</v>
      </c>
      <c r="J418">
        <v>1.9037523042014195</v>
      </c>
    </row>
    <row r="419" spans="6:10" x14ac:dyDescent="0.25">
      <c r="F419" s="10">
        <v>44601</v>
      </c>
      <c r="H419">
        <v>173.24201965332031</v>
      </c>
      <c r="J419">
        <v>1.919541842843784</v>
      </c>
    </row>
    <row r="420" spans="6:10" x14ac:dyDescent="0.25">
      <c r="F420" s="10">
        <v>44602</v>
      </c>
      <c r="H420">
        <v>169.15367126464844</v>
      </c>
      <c r="J420">
        <v>1.874242464460393</v>
      </c>
    </row>
    <row r="421" spans="6:10" x14ac:dyDescent="0.25">
      <c r="F421" s="10">
        <v>44603</v>
      </c>
      <c r="H421">
        <v>165.73365783691406</v>
      </c>
      <c r="J421">
        <v>1.8363483156230562</v>
      </c>
    </row>
    <row r="422" spans="6:10" x14ac:dyDescent="0.25">
      <c r="F422" s="10">
        <v>44606</v>
      </c>
      <c r="H422">
        <v>165.96952819824219</v>
      </c>
      <c r="J422">
        <v>1.8389617868176431</v>
      </c>
    </row>
    <row r="423" spans="6:10" x14ac:dyDescent="0.25">
      <c r="F423" s="10">
        <v>44607</v>
      </c>
      <c r="H423">
        <v>169.81214904785156</v>
      </c>
      <c r="J423">
        <v>1.8815384753241013</v>
      </c>
    </row>
    <row r="424" spans="6:10" x14ac:dyDescent="0.25">
      <c r="F424" s="10">
        <v>44608</v>
      </c>
      <c r="H424">
        <v>169.57632446289063</v>
      </c>
      <c r="J424">
        <v>1.8789255113370176</v>
      </c>
    </row>
    <row r="425" spans="6:10" x14ac:dyDescent="0.25">
      <c r="F425" s="10">
        <v>44609</v>
      </c>
      <c r="H425">
        <v>165.96952819824219</v>
      </c>
      <c r="J425">
        <v>1.8389617868176431</v>
      </c>
    </row>
    <row r="426" spans="6:10" x14ac:dyDescent="0.25">
      <c r="F426" s="10">
        <v>44610</v>
      </c>
      <c r="H426">
        <v>164.41677856445313</v>
      </c>
      <c r="J426">
        <v>1.821757139241478</v>
      </c>
    </row>
    <row r="427" spans="6:10" x14ac:dyDescent="0.25">
      <c r="F427" s="10">
        <v>44614</v>
      </c>
      <c r="H427">
        <v>161.48812866210938</v>
      </c>
      <c r="J427">
        <v>1.7893073557430006</v>
      </c>
    </row>
    <row r="428" spans="6:10" x14ac:dyDescent="0.25">
      <c r="F428" s="10">
        <v>44615</v>
      </c>
      <c r="H428">
        <v>157.31135559082031</v>
      </c>
      <c r="J428">
        <v>1.7430282215326831</v>
      </c>
    </row>
    <row r="429" spans="6:10" x14ac:dyDescent="0.25">
      <c r="F429" s="10">
        <v>44616</v>
      </c>
      <c r="H429">
        <v>159.93536376953125</v>
      </c>
      <c r="J429">
        <v>1.7721025390976677</v>
      </c>
    </row>
    <row r="430" spans="6:10" x14ac:dyDescent="0.25">
      <c r="F430" s="10">
        <v>44617</v>
      </c>
      <c r="H430">
        <v>162.00898742675781</v>
      </c>
      <c r="J430">
        <v>1.7950785317830593</v>
      </c>
    </row>
    <row r="431" spans="6:10" x14ac:dyDescent="0.25">
      <c r="F431" s="10">
        <v>44620</v>
      </c>
      <c r="H431">
        <v>162.27430725097656</v>
      </c>
      <c r="J431">
        <v>1.7980183064713422</v>
      </c>
    </row>
    <row r="432" spans="6:10" x14ac:dyDescent="0.25">
      <c r="F432" s="10">
        <v>44621</v>
      </c>
      <c r="H432">
        <v>160.38742065429688</v>
      </c>
      <c r="J432">
        <v>1.7771113822604852</v>
      </c>
    </row>
    <row r="433" spans="6:10" x14ac:dyDescent="0.25">
      <c r="F433" s="10">
        <v>44622</v>
      </c>
      <c r="H433">
        <v>163.68949890136719</v>
      </c>
      <c r="J433">
        <v>1.8136987955005284</v>
      </c>
    </row>
    <row r="434" spans="6:10" x14ac:dyDescent="0.25">
      <c r="F434" s="10">
        <v>44623</v>
      </c>
      <c r="H434">
        <v>163.36521911621094</v>
      </c>
      <c r="J434">
        <v>1.8101057375481826</v>
      </c>
    </row>
    <row r="435" spans="6:10" x14ac:dyDescent="0.25">
      <c r="F435" s="10">
        <v>44624</v>
      </c>
      <c r="H435">
        <v>160.35794067382813</v>
      </c>
      <c r="J435">
        <v>1.7767847406284538</v>
      </c>
    </row>
    <row r="436" spans="6:10" x14ac:dyDescent="0.25">
      <c r="F436" s="10">
        <v>44627</v>
      </c>
      <c r="H436">
        <v>156.55464172363281</v>
      </c>
      <c r="J436">
        <v>1.7346437433672053</v>
      </c>
    </row>
    <row r="437" spans="6:10" x14ac:dyDescent="0.25">
      <c r="F437" s="10">
        <v>44628</v>
      </c>
      <c r="H437">
        <v>154.72669982910156</v>
      </c>
      <c r="J437">
        <v>1.7143899333512433</v>
      </c>
    </row>
    <row r="438" spans="6:10" x14ac:dyDescent="0.25">
      <c r="F438" s="10">
        <v>44629</v>
      </c>
      <c r="H438">
        <v>160.14175415039063</v>
      </c>
      <c r="J438">
        <v>1.7743893686602232</v>
      </c>
    </row>
    <row r="439" spans="6:10" x14ac:dyDescent="0.25">
      <c r="F439" s="10">
        <v>44630</v>
      </c>
      <c r="H439">
        <v>155.78807067871094</v>
      </c>
      <c r="J439">
        <v>1.7261500465193815</v>
      </c>
    </row>
    <row r="440" spans="6:10" x14ac:dyDescent="0.25">
      <c r="F440" s="10">
        <v>44631</v>
      </c>
      <c r="H440">
        <v>152.06340026855469</v>
      </c>
      <c r="J440">
        <v>1.6848802626793844</v>
      </c>
    </row>
    <row r="441" spans="6:10" x14ac:dyDescent="0.25">
      <c r="F441" s="10">
        <v>44634</v>
      </c>
      <c r="H441">
        <v>148.02423095703125</v>
      </c>
      <c r="J441">
        <v>1.640125794223549</v>
      </c>
    </row>
    <row r="442" spans="6:10" x14ac:dyDescent="0.25">
      <c r="F442" s="10">
        <v>44635</v>
      </c>
      <c r="H442">
        <v>152.41719055175781</v>
      </c>
      <c r="J442">
        <v>1.6888003004020973</v>
      </c>
    </row>
    <row r="443" spans="6:10" x14ac:dyDescent="0.25">
      <c r="F443" s="10">
        <v>44636</v>
      </c>
      <c r="H443">
        <v>156.83964538574219</v>
      </c>
      <c r="J443">
        <v>1.7378016172818445</v>
      </c>
    </row>
    <row r="444" spans="6:10" x14ac:dyDescent="0.25">
      <c r="F444" s="10">
        <v>44637</v>
      </c>
      <c r="H444">
        <v>157.85189819335938</v>
      </c>
      <c r="J444">
        <v>1.7490174967990979</v>
      </c>
    </row>
    <row r="445" spans="6:10" x14ac:dyDescent="0.25">
      <c r="F445" s="10">
        <v>44638</v>
      </c>
      <c r="H445">
        <v>161.15399169921875</v>
      </c>
      <c r="J445">
        <v>1.7856050791083089</v>
      </c>
    </row>
    <row r="446" spans="6:10" x14ac:dyDescent="0.25">
      <c r="F446" s="10">
        <v>44641</v>
      </c>
      <c r="H446">
        <v>162.52986145019531</v>
      </c>
      <c r="J446">
        <v>1.8008498768922856</v>
      </c>
    </row>
    <row r="447" spans="6:10" x14ac:dyDescent="0.25">
      <c r="F447" s="10">
        <v>44642</v>
      </c>
      <c r="H447">
        <v>165.91058349609375</v>
      </c>
      <c r="J447">
        <v>1.838308672622748</v>
      </c>
    </row>
    <row r="448" spans="6:10" x14ac:dyDescent="0.25">
      <c r="F448" s="10">
        <v>44643</v>
      </c>
      <c r="H448">
        <v>167.27662658691406</v>
      </c>
      <c r="J448">
        <v>1.8534445898627141</v>
      </c>
    </row>
    <row r="449" spans="6:10" x14ac:dyDescent="0.25">
      <c r="F449" s="10">
        <v>44644</v>
      </c>
      <c r="H449">
        <v>171.07012939453125</v>
      </c>
      <c r="J449">
        <v>1.8954770447182876</v>
      </c>
    </row>
    <row r="450" spans="6:10" x14ac:dyDescent="0.25">
      <c r="F450" s="10">
        <v>44645</v>
      </c>
      <c r="H450">
        <v>171.7088623046875</v>
      </c>
      <c r="J450">
        <v>1.9025542800789688</v>
      </c>
    </row>
    <row r="451" spans="6:10" x14ac:dyDescent="0.25">
      <c r="F451" s="10">
        <v>44648</v>
      </c>
      <c r="H451">
        <v>172.57376098632813</v>
      </c>
      <c r="J451">
        <v>1.9121374586435682</v>
      </c>
    </row>
    <row r="452" spans="6:10" x14ac:dyDescent="0.25">
      <c r="F452" s="10">
        <v>44649</v>
      </c>
      <c r="H452">
        <v>175.87583923339844</v>
      </c>
      <c r="J452">
        <v>1.9487248718836114</v>
      </c>
    </row>
    <row r="453" spans="6:10" x14ac:dyDescent="0.25">
      <c r="F453" s="10">
        <v>44650</v>
      </c>
      <c r="H453">
        <v>174.70632934570313</v>
      </c>
      <c r="J453">
        <v>1.935766565523855</v>
      </c>
    </row>
    <row r="454" spans="6:10" x14ac:dyDescent="0.25">
      <c r="F454" s="10">
        <v>44651</v>
      </c>
      <c r="H454">
        <v>171.60078430175781</v>
      </c>
      <c r="J454">
        <v>1.9013567631640214</v>
      </c>
    </row>
    <row r="455" spans="6:10" x14ac:dyDescent="0.25">
      <c r="F455" s="10">
        <v>44652</v>
      </c>
      <c r="H455">
        <v>171.30595397949219</v>
      </c>
      <c r="J455">
        <v>1.8980900087053714</v>
      </c>
    </row>
    <row r="456" spans="6:10" x14ac:dyDescent="0.25">
      <c r="F456" s="10">
        <v>44655</v>
      </c>
      <c r="H456">
        <v>175.36477661132813</v>
      </c>
      <c r="J456">
        <v>1.943062238249228</v>
      </c>
    </row>
    <row r="457" spans="6:10" x14ac:dyDescent="0.25">
      <c r="F457" s="10">
        <v>44656</v>
      </c>
      <c r="H457">
        <v>172.04298400878906</v>
      </c>
      <c r="J457">
        <v>1.9062563876444929</v>
      </c>
    </row>
    <row r="458" spans="6:10" x14ac:dyDescent="0.25">
      <c r="F458" s="10">
        <v>44657</v>
      </c>
      <c r="H458">
        <v>168.86869812011719</v>
      </c>
      <c r="J458">
        <v>1.8710849286840889</v>
      </c>
    </row>
    <row r="459" spans="6:10" x14ac:dyDescent="0.25">
      <c r="F459" s="10">
        <v>44658</v>
      </c>
      <c r="H459">
        <v>169.17335510253906</v>
      </c>
      <c r="J459">
        <v>1.8744605636867493</v>
      </c>
    </row>
    <row r="460" spans="6:10" x14ac:dyDescent="0.25">
      <c r="F460" s="10">
        <v>44659</v>
      </c>
      <c r="H460">
        <v>167.15866088867188</v>
      </c>
      <c r="J460">
        <v>1.8521375161270852</v>
      </c>
    </row>
    <row r="461" spans="6:10" x14ac:dyDescent="0.25">
      <c r="F461" s="10">
        <v>44662</v>
      </c>
      <c r="H461">
        <v>162.89349365234375</v>
      </c>
      <c r="J461">
        <v>1.8048789642281764</v>
      </c>
    </row>
    <row r="462" spans="6:10" x14ac:dyDescent="0.25">
      <c r="F462" s="10">
        <v>44663</v>
      </c>
      <c r="H462">
        <v>164.77056884765625</v>
      </c>
      <c r="J462">
        <v>1.8256771769641906</v>
      </c>
    </row>
    <row r="463" spans="6:10" x14ac:dyDescent="0.25">
      <c r="F463" s="10">
        <v>44664</v>
      </c>
      <c r="H463">
        <v>167.46330261230469</v>
      </c>
      <c r="J463">
        <v>1.8555129820605778</v>
      </c>
    </row>
    <row r="464" spans="6:10" x14ac:dyDescent="0.25">
      <c r="F464" s="10">
        <v>44665</v>
      </c>
      <c r="H464">
        <v>162.44139099121094</v>
      </c>
      <c r="J464">
        <v>1.7998696138578558</v>
      </c>
    </row>
    <row r="465" spans="6:10" x14ac:dyDescent="0.25">
      <c r="F465" s="10">
        <v>44669</v>
      </c>
      <c r="H465">
        <v>162.22518920898438</v>
      </c>
      <c r="J465">
        <v>1.7974740728204575</v>
      </c>
    </row>
    <row r="466" spans="6:10" x14ac:dyDescent="0.25">
      <c r="F466" s="10">
        <v>44670</v>
      </c>
      <c r="H466">
        <v>164.51502990722656</v>
      </c>
      <c r="J466">
        <v>1.822845775612415</v>
      </c>
    </row>
    <row r="467" spans="6:10" x14ac:dyDescent="0.25">
      <c r="F467" s="10">
        <v>44671</v>
      </c>
      <c r="H467">
        <v>164.34796142578125</v>
      </c>
      <c r="J467">
        <v>1.8209946372950692</v>
      </c>
    </row>
    <row r="468" spans="6:10" x14ac:dyDescent="0.25">
      <c r="F468" s="10">
        <v>44672</v>
      </c>
      <c r="H468">
        <v>163.55194091796875</v>
      </c>
      <c r="J468">
        <v>1.8121746369535494</v>
      </c>
    </row>
    <row r="469" spans="6:10" x14ac:dyDescent="0.25">
      <c r="F469" s="10">
        <v>44673</v>
      </c>
      <c r="H469">
        <v>159.00172424316406</v>
      </c>
      <c r="J469">
        <v>1.7617577039324981</v>
      </c>
    </row>
    <row r="470" spans="6:10" x14ac:dyDescent="0.25">
      <c r="F470" s="10">
        <v>44676</v>
      </c>
      <c r="H470">
        <v>160.07295227050781</v>
      </c>
      <c r="J470">
        <v>1.7736270357829822</v>
      </c>
    </row>
    <row r="471" spans="6:10" x14ac:dyDescent="0.25">
      <c r="F471" s="10">
        <v>44677</v>
      </c>
      <c r="H471">
        <v>154.09771728515625</v>
      </c>
      <c r="J471">
        <v>1.7074207331887341</v>
      </c>
    </row>
    <row r="472" spans="6:10" x14ac:dyDescent="0.25">
      <c r="F472" s="10">
        <v>44678</v>
      </c>
      <c r="H472">
        <v>153.8717041015625</v>
      </c>
      <c r="J472">
        <v>1.7049164806764932</v>
      </c>
    </row>
    <row r="473" spans="6:10" x14ac:dyDescent="0.25">
      <c r="F473" s="10">
        <v>44679</v>
      </c>
      <c r="H473">
        <v>160.81985473632813</v>
      </c>
      <c r="J473">
        <v>1.7819028024736172</v>
      </c>
    </row>
    <row r="474" spans="6:10" x14ac:dyDescent="0.25">
      <c r="F474" s="10">
        <v>44680</v>
      </c>
      <c r="H474">
        <v>154.93305969238281</v>
      </c>
      <c r="J474">
        <v>1.7166764247754636</v>
      </c>
    </row>
    <row r="475" spans="6:10" x14ac:dyDescent="0.25">
      <c r="F475" s="10">
        <v>44683</v>
      </c>
      <c r="H475">
        <v>155.23774719238281</v>
      </c>
      <c r="J475">
        <v>1.7200523979164593</v>
      </c>
    </row>
    <row r="476" spans="6:10" x14ac:dyDescent="0.25">
      <c r="F476" s="10">
        <v>44684</v>
      </c>
      <c r="H476">
        <v>156.73155212402344</v>
      </c>
      <c r="J476">
        <v>1.7366039312977293</v>
      </c>
    </row>
    <row r="477" spans="6:10" x14ac:dyDescent="0.25">
      <c r="F477" s="10">
        <v>44685</v>
      </c>
      <c r="H477">
        <v>163.15882873535156</v>
      </c>
      <c r="J477">
        <v>1.8078189079856271</v>
      </c>
    </row>
    <row r="478" spans="6:10" x14ac:dyDescent="0.25">
      <c r="F478" s="10">
        <v>44686</v>
      </c>
      <c r="H478">
        <v>154.06826782226563</v>
      </c>
      <c r="J478">
        <v>1.7070944296950381</v>
      </c>
    </row>
    <row r="479" spans="6:10" x14ac:dyDescent="0.25">
      <c r="F479" s="10">
        <v>44687</v>
      </c>
      <c r="H479">
        <v>154.79655456542969</v>
      </c>
      <c r="J479">
        <v>1.715163932001057</v>
      </c>
    </row>
    <row r="480" spans="6:10" x14ac:dyDescent="0.25">
      <c r="F480" s="10">
        <v>44690</v>
      </c>
      <c r="H480">
        <v>149.65898132324219</v>
      </c>
      <c r="J480">
        <v>1.6582390195070316</v>
      </c>
    </row>
    <row r="481" spans="6:10" x14ac:dyDescent="0.25">
      <c r="F481" s="10">
        <v>44691</v>
      </c>
      <c r="H481">
        <v>152.07026672363281</v>
      </c>
      <c r="J481">
        <v>1.6849563438048576</v>
      </c>
    </row>
    <row r="482" spans="6:10" x14ac:dyDescent="0.25">
      <c r="F482" s="10">
        <v>44692</v>
      </c>
      <c r="H482">
        <v>144.186767578125</v>
      </c>
      <c r="J482">
        <v>1.5976062510957796</v>
      </c>
    </row>
    <row r="483" spans="6:10" x14ac:dyDescent="0.25">
      <c r="F483" s="10">
        <v>44693</v>
      </c>
      <c r="H483">
        <v>140.3089599609375</v>
      </c>
      <c r="J483">
        <v>1.5546396890885634</v>
      </c>
    </row>
    <row r="484" spans="6:10" x14ac:dyDescent="0.25">
      <c r="F484" s="10">
        <v>44694</v>
      </c>
      <c r="H484">
        <v>144.787109375</v>
      </c>
      <c r="J484">
        <v>1.6042581084304819</v>
      </c>
    </row>
    <row r="485" spans="6:10" x14ac:dyDescent="0.25">
      <c r="F485" s="10">
        <v>44697</v>
      </c>
      <c r="H485">
        <v>143.24192810058594</v>
      </c>
      <c r="J485">
        <v>1.5871373191615048</v>
      </c>
    </row>
    <row r="486" spans="6:10" x14ac:dyDescent="0.25">
      <c r="F486" s="10">
        <v>44698</v>
      </c>
      <c r="H486">
        <v>146.88351440429688</v>
      </c>
      <c r="J486">
        <v>1.6274865213832765</v>
      </c>
    </row>
    <row r="487" spans="6:10" x14ac:dyDescent="0.25">
      <c r="F487" s="10">
        <v>44699</v>
      </c>
      <c r="H487">
        <v>138.59646606445313</v>
      </c>
      <c r="J487">
        <v>1.5356650563955569</v>
      </c>
    </row>
    <row r="488" spans="6:10" x14ac:dyDescent="0.25">
      <c r="F488" s="10">
        <v>44700</v>
      </c>
      <c r="H488">
        <v>135.18125915527344</v>
      </c>
      <c r="J488">
        <v>1.4978241643460515</v>
      </c>
    </row>
    <row r="489" spans="6:10" x14ac:dyDescent="0.25">
      <c r="F489" s="10">
        <v>44701</v>
      </c>
      <c r="H489">
        <v>135.41741943359375</v>
      </c>
      <c r="J489">
        <v>1.500440847854825</v>
      </c>
    </row>
    <row r="490" spans="6:10" x14ac:dyDescent="0.25">
      <c r="F490" s="10">
        <v>44704</v>
      </c>
      <c r="H490">
        <v>140.85029602050781</v>
      </c>
      <c r="J490">
        <v>1.5606377559516997</v>
      </c>
    </row>
    <row r="491" spans="6:10" x14ac:dyDescent="0.25">
      <c r="F491" s="10">
        <v>44705</v>
      </c>
      <c r="H491">
        <v>138.14370727539063</v>
      </c>
      <c r="J491">
        <v>1.5306484360510244</v>
      </c>
    </row>
    <row r="492" spans="6:10" x14ac:dyDescent="0.25">
      <c r="F492" s="10">
        <v>44706</v>
      </c>
      <c r="H492">
        <v>138.30120849609375</v>
      </c>
      <c r="J492">
        <v>1.532393568000211</v>
      </c>
    </row>
    <row r="493" spans="6:10" x14ac:dyDescent="0.25">
      <c r="F493" s="10">
        <v>44707</v>
      </c>
      <c r="H493">
        <v>141.50973510742188</v>
      </c>
      <c r="J493">
        <v>1.5679444181729743</v>
      </c>
    </row>
    <row r="494" spans="6:10" x14ac:dyDescent="0.25">
      <c r="F494" s="10">
        <v>44708</v>
      </c>
      <c r="H494">
        <v>147.27720642089844</v>
      </c>
      <c r="J494">
        <v>1.6318486749795722</v>
      </c>
    </row>
    <row r="495" spans="6:10" x14ac:dyDescent="0.25">
      <c r="F495" s="10">
        <v>44712</v>
      </c>
      <c r="H495">
        <v>146.48982238769531</v>
      </c>
      <c r="J495">
        <v>1.6231243677869809</v>
      </c>
    </row>
    <row r="496" spans="6:10" x14ac:dyDescent="0.25">
      <c r="F496" s="10">
        <v>44713</v>
      </c>
      <c r="H496">
        <v>146.36186218261719</v>
      </c>
      <c r="J496">
        <v>1.6217065537464967</v>
      </c>
    </row>
    <row r="497" spans="6:10" x14ac:dyDescent="0.25">
      <c r="F497" s="10">
        <v>44714</v>
      </c>
      <c r="H497">
        <v>148.8223876953125</v>
      </c>
      <c r="J497">
        <v>1.6489694642485493</v>
      </c>
    </row>
    <row r="498" spans="6:10" x14ac:dyDescent="0.25">
      <c r="F498" s="10">
        <v>44715</v>
      </c>
      <c r="H498">
        <v>143.08444213867188</v>
      </c>
      <c r="J498">
        <v>1.585392356281486</v>
      </c>
    </row>
    <row r="499" spans="6:10" x14ac:dyDescent="0.25">
      <c r="F499" s="10">
        <v>44718</v>
      </c>
      <c r="H499">
        <v>143.83244323730469</v>
      </c>
      <c r="J499">
        <v>1.5936802959521967</v>
      </c>
    </row>
    <row r="500" spans="6:10" x14ac:dyDescent="0.25">
      <c r="F500" s="10">
        <v>44719</v>
      </c>
      <c r="H500">
        <v>146.36186218261719</v>
      </c>
      <c r="J500">
        <v>1.6217065537464967</v>
      </c>
    </row>
    <row r="501" spans="6:10" x14ac:dyDescent="0.25">
      <c r="F501" s="10">
        <v>44720</v>
      </c>
      <c r="H501">
        <v>145.62373352050781</v>
      </c>
      <c r="J501">
        <v>1.6135280018272995</v>
      </c>
    </row>
    <row r="502" spans="6:10" x14ac:dyDescent="0.25">
      <c r="F502" s="10">
        <v>44721</v>
      </c>
      <c r="H502">
        <v>140.38772583007813</v>
      </c>
      <c r="J502">
        <v>1.5555124241323244</v>
      </c>
    </row>
    <row r="503" spans="6:10" x14ac:dyDescent="0.25">
      <c r="F503" s="10">
        <v>44722</v>
      </c>
      <c r="H503">
        <v>134.96473693847656</v>
      </c>
      <c r="J503">
        <v>1.4954250728561311</v>
      </c>
    </row>
    <row r="504" spans="6:10" x14ac:dyDescent="0.25">
      <c r="F504" s="10">
        <v>44725</v>
      </c>
      <c r="H504">
        <v>129.79762268066406</v>
      </c>
      <c r="J504">
        <v>1.4381728424534033</v>
      </c>
    </row>
    <row r="505" spans="6:10" x14ac:dyDescent="0.25">
      <c r="F505" s="10">
        <v>44726</v>
      </c>
      <c r="H505">
        <v>130.66371154785156</v>
      </c>
      <c r="J505">
        <v>1.4477692084130847</v>
      </c>
    </row>
    <row r="506" spans="6:10" x14ac:dyDescent="0.25">
      <c r="F506" s="10">
        <v>44727</v>
      </c>
      <c r="H506">
        <v>133.29156494140625</v>
      </c>
      <c r="J506">
        <v>1.4768861314083344</v>
      </c>
    </row>
    <row r="507" spans="6:10" x14ac:dyDescent="0.25">
      <c r="F507" s="10">
        <v>44728</v>
      </c>
      <c r="H507">
        <v>128.00633239746094</v>
      </c>
      <c r="J507">
        <v>1.4183251365783005</v>
      </c>
    </row>
    <row r="508" spans="6:10" x14ac:dyDescent="0.25">
      <c r="F508" s="10">
        <v>44729</v>
      </c>
      <c r="H508">
        <v>129.482666015625</v>
      </c>
      <c r="J508">
        <v>1.4346830857625332</v>
      </c>
    </row>
    <row r="509" spans="6:10" x14ac:dyDescent="0.25">
      <c r="F509" s="10">
        <v>44733</v>
      </c>
      <c r="H509">
        <v>133.72462463378906</v>
      </c>
      <c r="J509">
        <v>1.4816844834573428</v>
      </c>
    </row>
    <row r="510" spans="6:10" x14ac:dyDescent="0.25">
      <c r="F510" s="10">
        <v>44734</v>
      </c>
      <c r="H510">
        <v>133.21284484863281</v>
      </c>
      <c r="J510">
        <v>1.4760139035720765</v>
      </c>
    </row>
    <row r="511" spans="6:10" x14ac:dyDescent="0.25">
      <c r="F511" s="10">
        <v>44735</v>
      </c>
      <c r="H511">
        <v>136.08673095703125</v>
      </c>
      <c r="J511">
        <v>1.5078568978276135</v>
      </c>
    </row>
    <row r="512" spans="6:10" x14ac:dyDescent="0.25">
      <c r="F512" s="10">
        <v>44736</v>
      </c>
      <c r="H512">
        <v>139.4232177734375</v>
      </c>
      <c r="J512">
        <v>1.5448255620408611</v>
      </c>
    </row>
    <row r="513" spans="6:10" x14ac:dyDescent="0.25">
      <c r="F513" s="10">
        <v>44739</v>
      </c>
      <c r="H513">
        <v>139.4232177734375</v>
      </c>
      <c r="J513">
        <v>1.5448255620408611</v>
      </c>
    </row>
    <row r="514" spans="6:10" x14ac:dyDescent="0.25">
      <c r="F514" s="10">
        <v>44740</v>
      </c>
      <c r="H514">
        <v>135.26983642578125</v>
      </c>
      <c r="J514">
        <v>1.4988056108646552</v>
      </c>
    </row>
    <row r="515" spans="6:10" x14ac:dyDescent="0.25">
      <c r="F515" s="10">
        <v>44741</v>
      </c>
      <c r="H515">
        <v>137.03155517578125</v>
      </c>
      <c r="J515">
        <v>1.5183256606927202</v>
      </c>
    </row>
    <row r="516" spans="6:10" x14ac:dyDescent="0.25">
      <c r="F516" s="10">
        <v>44742</v>
      </c>
      <c r="H516">
        <v>134.56117248535156</v>
      </c>
      <c r="J516">
        <v>1.4909535315083218</v>
      </c>
    </row>
    <row r="517" spans="6:10" x14ac:dyDescent="0.25">
      <c r="F517" s="10">
        <v>44743</v>
      </c>
      <c r="H517">
        <v>136.73626708984375</v>
      </c>
      <c r="J517">
        <v>1.5150538341590389</v>
      </c>
    </row>
    <row r="518" spans="6:10" x14ac:dyDescent="0.25">
      <c r="F518" s="10">
        <v>44747</v>
      </c>
      <c r="H518">
        <v>139.32478332519531</v>
      </c>
      <c r="J518">
        <v>1.5437348968399114</v>
      </c>
    </row>
    <row r="519" spans="6:10" x14ac:dyDescent="0.25">
      <c r="F519" s="10">
        <v>44748</v>
      </c>
      <c r="H519">
        <v>140.66328430175781</v>
      </c>
      <c r="J519">
        <v>1.5585656442321463</v>
      </c>
    </row>
    <row r="520" spans="6:10" x14ac:dyDescent="0.25">
      <c r="F520" s="10">
        <v>44749</v>
      </c>
      <c r="H520">
        <v>144.03915405273438</v>
      </c>
      <c r="J520">
        <v>1.5959706759672743</v>
      </c>
    </row>
    <row r="521" spans="6:10" x14ac:dyDescent="0.25">
      <c r="F521" s="10">
        <v>44750</v>
      </c>
      <c r="H521">
        <v>144.71818542480469</v>
      </c>
      <c r="J521">
        <v>1.6034944229998991</v>
      </c>
    </row>
    <row r="522" spans="6:10" x14ac:dyDescent="0.25">
      <c r="F522" s="10">
        <v>44753</v>
      </c>
      <c r="H522">
        <v>142.58250427246094</v>
      </c>
      <c r="J522">
        <v>1.5798308260093978</v>
      </c>
    </row>
    <row r="523" spans="6:10" x14ac:dyDescent="0.25">
      <c r="F523" s="10">
        <v>44754</v>
      </c>
      <c r="H523">
        <v>143.556884765625</v>
      </c>
      <c r="J523">
        <v>1.5906270758523748</v>
      </c>
    </row>
    <row r="524" spans="6:10" x14ac:dyDescent="0.25">
      <c r="F524" s="10">
        <v>44755</v>
      </c>
      <c r="H524">
        <v>143.19271850585938</v>
      </c>
      <c r="J524">
        <v>1.5865920710956138</v>
      </c>
    </row>
    <row r="525" spans="6:10" x14ac:dyDescent="0.25">
      <c r="F525" s="10">
        <v>44756</v>
      </c>
      <c r="H525">
        <v>146.12565612792969</v>
      </c>
      <c r="J525">
        <v>1.6190893630302199</v>
      </c>
    </row>
    <row r="526" spans="6:10" x14ac:dyDescent="0.25">
      <c r="F526" s="10">
        <v>44757</v>
      </c>
      <c r="H526">
        <v>147.798828125</v>
      </c>
      <c r="J526">
        <v>1.6376283044780167</v>
      </c>
    </row>
    <row r="527" spans="6:10" x14ac:dyDescent="0.25">
      <c r="F527" s="10">
        <v>44760</v>
      </c>
      <c r="H527">
        <v>144.747802734375</v>
      </c>
      <c r="J527">
        <v>1.60382258625444</v>
      </c>
    </row>
    <row r="528" spans="6:10" x14ac:dyDescent="0.25">
      <c r="F528" s="10">
        <v>44761</v>
      </c>
      <c r="H528">
        <v>148.61569213867188</v>
      </c>
      <c r="J528">
        <v>1.6466792533026393</v>
      </c>
    </row>
    <row r="529" spans="6:10" x14ac:dyDescent="0.25">
      <c r="F529" s="10">
        <v>44762</v>
      </c>
      <c r="H529">
        <v>150.62351989746094</v>
      </c>
      <c r="J529">
        <v>1.6689262197368304</v>
      </c>
    </row>
    <row r="530" spans="6:10" x14ac:dyDescent="0.25">
      <c r="F530" s="10">
        <v>44763</v>
      </c>
      <c r="H530">
        <v>152.89701843261719</v>
      </c>
      <c r="J530">
        <v>1.6941168494501617</v>
      </c>
    </row>
    <row r="531" spans="6:10" x14ac:dyDescent="0.25">
      <c r="F531" s="10">
        <v>44764</v>
      </c>
      <c r="H531">
        <v>151.65693664550781</v>
      </c>
      <c r="J531">
        <v>1.6803765981897087</v>
      </c>
    </row>
    <row r="532" spans="6:10" x14ac:dyDescent="0.25">
      <c r="F532" s="10">
        <v>44767</v>
      </c>
      <c r="H532">
        <v>150.53492736816406</v>
      </c>
      <c r="J532">
        <v>1.6679446041490589</v>
      </c>
    </row>
    <row r="533" spans="6:10" x14ac:dyDescent="0.25">
      <c r="F533" s="10">
        <v>44768</v>
      </c>
      <c r="H533">
        <v>149.20625305175781</v>
      </c>
      <c r="J533">
        <v>1.6532227373008344</v>
      </c>
    </row>
    <row r="534" spans="6:10" x14ac:dyDescent="0.25">
      <c r="F534" s="10">
        <v>44769</v>
      </c>
      <c r="H534">
        <v>154.31430053710938</v>
      </c>
      <c r="J534">
        <v>1.7098205009553253</v>
      </c>
    </row>
    <row r="535" spans="6:10" x14ac:dyDescent="0.25">
      <c r="F535" s="10">
        <v>44770</v>
      </c>
      <c r="H535">
        <v>154.86544799804688</v>
      </c>
      <c r="J535">
        <v>1.7159272792933045</v>
      </c>
    </row>
    <row r="536" spans="6:10" x14ac:dyDescent="0.25">
      <c r="F536" s="10">
        <v>44771</v>
      </c>
      <c r="H536">
        <v>159.94395446777344</v>
      </c>
      <c r="J536">
        <v>1.772197725039093</v>
      </c>
    </row>
    <row r="537" spans="6:10" x14ac:dyDescent="0.25">
      <c r="F537" s="10">
        <v>44774</v>
      </c>
      <c r="H537">
        <v>158.95974731445313</v>
      </c>
      <c r="J537">
        <v>1.7612925946521056</v>
      </c>
    </row>
    <row r="538" spans="6:10" x14ac:dyDescent="0.25">
      <c r="F538" s="10">
        <v>44775</v>
      </c>
      <c r="H538">
        <v>157.48344421386719</v>
      </c>
      <c r="J538">
        <v>1.7449349836062082</v>
      </c>
    </row>
    <row r="539" spans="6:10" x14ac:dyDescent="0.25">
      <c r="F539" s="10">
        <v>44776</v>
      </c>
      <c r="H539">
        <v>163.50680541992188</v>
      </c>
      <c r="J539">
        <v>1.8116745303554391</v>
      </c>
    </row>
    <row r="540" spans="6:10" x14ac:dyDescent="0.25">
      <c r="F540" s="10">
        <v>44777</v>
      </c>
      <c r="H540">
        <v>163.19184875488281</v>
      </c>
      <c r="J540">
        <v>1.8081847736645691</v>
      </c>
    </row>
    <row r="541" spans="6:10" x14ac:dyDescent="0.25">
      <c r="F541" s="10">
        <v>44778</v>
      </c>
      <c r="H541">
        <v>162.96517944335938</v>
      </c>
      <c r="J541">
        <v>1.8056732511781162</v>
      </c>
    </row>
    <row r="542" spans="6:10" x14ac:dyDescent="0.25">
      <c r="F542" s="10">
        <v>44781</v>
      </c>
      <c r="H542">
        <v>162.49214172363281</v>
      </c>
      <c r="J542">
        <v>1.8004319379096863</v>
      </c>
    </row>
    <row r="543" spans="6:10" x14ac:dyDescent="0.25">
      <c r="F543" s="10">
        <v>44782</v>
      </c>
      <c r="H543">
        <v>162.54136657714844</v>
      </c>
      <c r="J543">
        <v>1.800977355044745</v>
      </c>
    </row>
    <row r="544" spans="6:10" x14ac:dyDescent="0.25">
      <c r="F544" s="10">
        <v>44783</v>
      </c>
      <c r="H544">
        <v>166.79910278320313</v>
      </c>
      <c r="J544">
        <v>1.8481535702589751</v>
      </c>
    </row>
    <row r="545" spans="6:10" x14ac:dyDescent="0.25">
      <c r="F545" s="10">
        <v>44784</v>
      </c>
      <c r="H545">
        <v>166.05989074707031</v>
      </c>
      <c r="J545">
        <v>1.8399630144288699</v>
      </c>
    </row>
    <row r="546" spans="6:10" x14ac:dyDescent="0.25">
      <c r="F546" s="10">
        <v>44785</v>
      </c>
      <c r="H546">
        <v>169.61784362792969</v>
      </c>
      <c r="J546">
        <v>1.8793855485423787</v>
      </c>
    </row>
    <row r="547" spans="6:10" x14ac:dyDescent="0.25">
      <c r="F547" s="10">
        <v>44788</v>
      </c>
      <c r="H547">
        <v>170.69209289550781</v>
      </c>
      <c r="J547">
        <v>1.8912883560880709</v>
      </c>
    </row>
    <row r="548" spans="6:10" x14ac:dyDescent="0.25">
      <c r="F548" s="10">
        <v>44789</v>
      </c>
      <c r="H548">
        <v>170.534423828125</v>
      </c>
      <c r="J548">
        <v>1.8895413643780394</v>
      </c>
    </row>
    <row r="549" spans="6:10" x14ac:dyDescent="0.25">
      <c r="F549" s="10">
        <v>44790</v>
      </c>
      <c r="H549">
        <v>172.03248596191406</v>
      </c>
      <c r="J549">
        <v>1.9061400680571028</v>
      </c>
    </row>
    <row r="550" spans="6:10" x14ac:dyDescent="0.25">
      <c r="F550" s="10">
        <v>44791</v>
      </c>
      <c r="H550">
        <v>171.63822937011719</v>
      </c>
      <c r="J550">
        <v>1.9017716589016016</v>
      </c>
    </row>
    <row r="551" spans="6:10" x14ac:dyDescent="0.25">
      <c r="F551" s="10">
        <v>44792</v>
      </c>
      <c r="H551">
        <v>169.04620361328125</v>
      </c>
      <c r="J551">
        <v>1.873051710312154</v>
      </c>
    </row>
    <row r="552" spans="6:10" x14ac:dyDescent="0.25">
      <c r="F552" s="10">
        <v>44795</v>
      </c>
      <c r="H552">
        <v>165.15316772460938</v>
      </c>
      <c r="J552">
        <v>1.8299164172755551</v>
      </c>
    </row>
    <row r="553" spans="6:10" x14ac:dyDescent="0.25">
      <c r="F553" s="10">
        <v>44796</v>
      </c>
      <c r="H553">
        <v>164.81805419921875</v>
      </c>
      <c r="J553">
        <v>1.8262033202141295</v>
      </c>
    </row>
    <row r="554" spans="6:10" x14ac:dyDescent="0.25">
      <c r="F554" s="10">
        <v>44797</v>
      </c>
      <c r="H554">
        <v>165.11373901367188</v>
      </c>
      <c r="J554">
        <v>1.8294795425461716</v>
      </c>
    </row>
    <row r="555" spans="6:10" x14ac:dyDescent="0.25">
      <c r="F555" s="10">
        <v>44798</v>
      </c>
      <c r="H555">
        <v>167.57768249511719</v>
      </c>
      <c r="J555">
        <v>1.8567803245417929</v>
      </c>
    </row>
    <row r="556" spans="6:10" x14ac:dyDescent="0.25">
      <c r="F556" s="10">
        <v>44799</v>
      </c>
      <c r="H556">
        <v>161.26011657714844</v>
      </c>
      <c r="J556">
        <v>1.7867809551697886</v>
      </c>
    </row>
    <row r="557" spans="6:10" x14ac:dyDescent="0.25">
      <c r="F557" s="10">
        <v>44802</v>
      </c>
      <c r="H557">
        <v>159.05242919921875</v>
      </c>
      <c r="J557">
        <v>1.7623195207768254</v>
      </c>
    </row>
    <row r="558" spans="6:10" x14ac:dyDescent="0.25">
      <c r="F558" s="10">
        <v>44803</v>
      </c>
      <c r="H558">
        <v>156.61807250976563</v>
      </c>
      <c r="J558">
        <v>1.7353465638974095</v>
      </c>
    </row>
    <row r="559" spans="6:10" x14ac:dyDescent="0.25">
      <c r="F559" s="10">
        <v>44804</v>
      </c>
      <c r="H559">
        <v>154.95242309570313</v>
      </c>
      <c r="J559">
        <v>1.7168909735492979</v>
      </c>
    </row>
    <row r="560" spans="6:10" x14ac:dyDescent="0.25">
      <c r="F560" s="10">
        <v>44805</v>
      </c>
      <c r="H560">
        <v>155.6817626953125</v>
      </c>
      <c r="J560">
        <v>1.7249721416278891</v>
      </c>
    </row>
    <row r="561" spans="6:10" x14ac:dyDescent="0.25">
      <c r="F561" s="10">
        <v>44806</v>
      </c>
      <c r="H561">
        <v>153.56280517578125</v>
      </c>
      <c r="J561">
        <v>1.7014938444452072</v>
      </c>
    </row>
    <row r="562" spans="6:10" x14ac:dyDescent="0.25">
      <c r="F562" s="10">
        <v>44810</v>
      </c>
      <c r="H562">
        <v>152.30123901367188</v>
      </c>
      <c r="J562">
        <v>1.6875155437966072</v>
      </c>
    </row>
    <row r="563" spans="6:10" x14ac:dyDescent="0.25">
      <c r="F563" s="10">
        <v>44811</v>
      </c>
      <c r="H563">
        <v>153.71063232421875</v>
      </c>
      <c r="J563">
        <v>1.7031317865420605</v>
      </c>
    </row>
    <row r="564" spans="6:10" x14ac:dyDescent="0.25">
      <c r="F564" s="10">
        <v>44812</v>
      </c>
      <c r="H564">
        <v>152.23226928710938</v>
      </c>
      <c r="J564">
        <v>1.686751351158521</v>
      </c>
    </row>
    <row r="565" spans="6:10" x14ac:dyDescent="0.25">
      <c r="F565" s="10">
        <v>44813</v>
      </c>
      <c r="H565">
        <v>155.10026550292969</v>
      </c>
      <c r="J565">
        <v>1.7185290847153187</v>
      </c>
    </row>
    <row r="566" spans="6:10" x14ac:dyDescent="0.25">
      <c r="F566" s="10">
        <v>44816</v>
      </c>
      <c r="H566">
        <v>161.0728759765625</v>
      </c>
      <c r="J566">
        <v>1.7847063074127194</v>
      </c>
    </row>
    <row r="567" spans="6:10" x14ac:dyDescent="0.25">
      <c r="F567" s="10">
        <v>44817</v>
      </c>
      <c r="H567">
        <v>151.62118530273438</v>
      </c>
      <c r="J567">
        <v>1.6799804691297453</v>
      </c>
    </row>
    <row r="568" spans="6:10" x14ac:dyDescent="0.25">
      <c r="F568" s="10">
        <v>44818</v>
      </c>
      <c r="H568">
        <v>153.06997680664063</v>
      </c>
      <c r="J568">
        <v>1.6960332484662468</v>
      </c>
    </row>
    <row r="569" spans="6:10" x14ac:dyDescent="0.25">
      <c r="F569" s="10">
        <v>44819</v>
      </c>
      <c r="H569">
        <v>150.17239379882813</v>
      </c>
      <c r="J569">
        <v>1.6639276897932436</v>
      </c>
    </row>
    <row r="570" spans="6:10" x14ac:dyDescent="0.25">
      <c r="F570" s="10">
        <v>44820</v>
      </c>
      <c r="H570">
        <v>148.5264892578125</v>
      </c>
      <c r="J570">
        <v>1.6456908749481591</v>
      </c>
    </row>
    <row r="571" spans="6:10" x14ac:dyDescent="0.25">
      <c r="F571" s="10">
        <v>44823</v>
      </c>
      <c r="H571">
        <v>152.251953125</v>
      </c>
      <c r="J571">
        <v>1.6869694503848776</v>
      </c>
    </row>
    <row r="572" spans="6:10" x14ac:dyDescent="0.25">
      <c r="F572" s="10">
        <v>44824</v>
      </c>
      <c r="H572">
        <v>154.63705444335938</v>
      </c>
      <c r="J572">
        <v>1.7133966519908994</v>
      </c>
    </row>
    <row r="573" spans="6:10" x14ac:dyDescent="0.25">
      <c r="F573" s="10">
        <v>44825</v>
      </c>
      <c r="H573">
        <v>151.50294494628906</v>
      </c>
      <c r="J573">
        <v>1.6786703521490973</v>
      </c>
    </row>
    <row r="574" spans="6:10" x14ac:dyDescent="0.25">
      <c r="F574" s="10">
        <v>44826</v>
      </c>
      <c r="H574">
        <v>150.53706359863281</v>
      </c>
      <c r="J574">
        <v>1.6679682738325394</v>
      </c>
    </row>
    <row r="575" spans="6:10" x14ac:dyDescent="0.25">
      <c r="F575" s="10">
        <v>44827</v>
      </c>
      <c r="H575">
        <v>148.26034545898438</v>
      </c>
      <c r="J575">
        <v>1.6427419705248194</v>
      </c>
    </row>
    <row r="576" spans="6:10" x14ac:dyDescent="0.25">
      <c r="F576" s="10">
        <v>44830</v>
      </c>
      <c r="H576">
        <v>148.595458984375</v>
      </c>
      <c r="J576">
        <v>1.646455067586245</v>
      </c>
    </row>
    <row r="577" spans="6:10" x14ac:dyDescent="0.25">
      <c r="F577" s="10">
        <v>44831</v>
      </c>
      <c r="H577">
        <v>149.57121276855469</v>
      </c>
      <c r="J577">
        <v>1.6572665336543169</v>
      </c>
    </row>
    <row r="578" spans="6:10" x14ac:dyDescent="0.25">
      <c r="F578" s="10">
        <v>44832</v>
      </c>
      <c r="H578">
        <v>147.67887878417969</v>
      </c>
      <c r="J578">
        <v>1.6362992517505843</v>
      </c>
    </row>
    <row r="579" spans="6:10" x14ac:dyDescent="0.25">
      <c r="F579" s="10">
        <v>44833</v>
      </c>
      <c r="H579">
        <v>140.42501831054688</v>
      </c>
      <c r="J579">
        <v>1.5559256291782275</v>
      </c>
    </row>
    <row r="580" spans="6:10" x14ac:dyDescent="0.25">
      <c r="F580" s="10">
        <v>44834</v>
      </c>
      <c r="H580">
        <v>136.20675659179688</v>
      </c>
      <c r="J580">
        <v>1.5091867959008842</v>
      </c>
    </row>
    <row r="581" spans="6:10" x14ac:dyDescent="0.25">
      <c r="F581" s="10">
        <v>44837</v>
      </c>
      <c r="H581">
        <v>140.39547729492188</v>
      </c>
      <c r="J581">
        <v>1.5555983112695251</v>
      </c>
    </row>
    <row r="582" spans="6:10" x14ac:dyDescent="0.25">
      <c r="F582" s="10">
        <v>44838</v>
      </c>
      <c r="H582">
        <v>143.99282836914063</v>
      </c>
      <c r="J582">
        <v>1.595457381974082</v>
      </c>
    </row>
    <row r="583" spans="6:10" x14ac:dyDescent="0.25">
      <c r="F583" s="10">
        <v>44839</v>
      </c>
      <c r="H583">
        <v>144.2884521484375</v>
      </c>
      <c r="J583">
        <v>1.5987329280294531</v>
      </c>
    </row>
    <row r="584" spans="6:10" x14ac:dyDescent="0.25">
      <c r="F584" s="10">
        <v>44840</v>
      </c>
      <c r="H584">
        <v>143.33245849609375</v>
      </c>
      <c r="J584">
        <v>1.5881404065335765</v>
      </c>
    </row>
    <row r="585" spans="6:10" x14ac:dyDescent="0.25">
      <c r="F585" s="10">
        <v>44841</v>
      </c>
      <c r="H585">
        <v>138.06948852539063</v>
      </c>
      <c r="J585">
        <v>1.5298260836192434</v>
      </c>
    </row>
    <row r="586" spans="6:10" x14ac:dyDescent="0.25">
      <c r="F586" s="10">
        <v>44844</v>
      </c>
      <c r="H586">
        <v>138.39474487304688</v>
      </c>
      <c r="J586">
        <v>1.5334299619983232</v>
      </c>
    </row>
    <row r="587" spans="6:10" x14ac:dyDescent="0.25">
      <c r="F587" s="10">
        <v>44845</v>
      </c>
      <c r="H587">
        <v>136.97550964355469</v>
      </c>
      <c r="J587">
        <v>1.5177046696396916</v>
      </c>
    </row>
    <row r="588" spans="6:10" x14ac:dyDescent="0.25">
      <c r="F588" s="10">
        <v>44846</v>
      </c>
      <c r="H588">
        <v>136.34474182128906</v>
      </c>
      <c r="J588">
        <v>1.5107156883845594</v>
      </c>
    </row>
    <row r="589" spans="6:10" x14ac:dyDescent="0.25">
      <c r="F589" s="10">
        <v>44847</v>
      </c>
      <c r="H589">
        <v>140.92765808105469</v>
      </c>
      <c r="J589">
        <v>1.5614949366320305</v>
      </c>
    </row>
    <row r="590" spans="6:10" x14ac:dyDescent="0.25">
      <c r="F590" s="10">
        <v>44848</v>
      </c>
      <c r="H590">
        <v>136.38418579101563</v>
      </c>
      <c r="J590">
        <v>1.5111527321831106</v>
      </c>
    </row>
    <row r="591" spans="6:10" x14ac:dyDescent="0.25">
      <c r="F591" s="10">
        <v>44851</v>
      </c>
      <c r="H591">
        <v>140.35601806640625</v>
      </c>
      <c r="J591">
        <v>1.5551610984018061</v>
      </c>
    </row>
    <row r="592" spans="6:10" x14ac:dyDescent="0.25">
      <c r="F592" s="10">
        <v>44852</v>
      </c>
      <c r="H592">
        <v>141.67669677734375</v>
      </c>
      <c r="J592">
        <v>1.5697943730061461</v>
      </c>
    </row>
    <row r="593" spans="6:10" x14ac:dyDescent="0.25">
      <c r="F593" s="10">
        <v>44853</v>
      </c>
      <c r="H593">
        <v>141.78515625</v>
      </c>
      <c r="J593">
        <v>1.5709961166502866</v>
      </c>
    </row>
    <row r="594" spans="6:10" x14ac:dyDescent="0.25">
      <c r="F594" s="10">
        <v>44854</v>
      </c>
      <c r="H594">
        <v>141.3218994140625</v>
      </c>
      <c r="J594">
        <v>1.5658631767183642</v>
      </c>
    </row>
    <row r="595" spans="6:10" x14ac:dyDescent="0.25">
      <c r="F595" s="10">
        <v>44855</v>
      </c>
      <c r="H595">
        <v>145.14591979980469</v>
      </c>
      <c r="J595">
        <v>1.6082337699093738</v>
      </c>
    </row>
    <row r="596" spans="6:10" x14ac:dyDescent="0.25">
      <c r="F596" s="10">
        <v>44858</v>
      </c>
      <c r="H596">
        <v>147.29449462890625</v>
      </c>
      <c r="J596">
        <v>1.6320402303465968</v>
      </c>
    </row>
    <row r="597" spans="6:10" x14ac:dyDescent="0.25">
      <c r="F597" s="10">
        <v>44859</v>
      </c>
      <c r="H597">
        <v>150.14280700683594</v>
      </c>
      <c r="J597">
        <v>1.6635998646770382</v>
      </c>
    </row>
    <row r="598" spans="6:10" x14ac:dyDescent="0.25">
      <c r="F598" s="10">
        <v>44860</v>
      </c>
      <c r="H598">
        <v>147.19595336914063</v>
      </c>
      <c r="J598">
        <v>1.6309483816614732</v>
      </c>
    </row>
    <row r="599" spans="6:10" x14ac:dyDescent="0.25">
      <c r="F599" s="10">
        <v>44861</v>
      </c>
      <c r="H599">
        <v>142.71159362792969</v>
      </c>
      <c r="J599">
        <v>1.5812611511682932</v>
      </c>
    </row>
    <row r="600" spans="6:10" x14ac:dyDescent="0.25">
      <c r="F600" s="10">
        <v>44862</v>
      </c>
      <c r="H600">
        <v>153.49378967285156</v>
      </c>
      <c r="J600">
        <v>1.700729144599618</v>
      </c>
    </row>
    <row r="601" spans="6:10" x14ac:dyDescent="0.25">
      <c r="F601" s="10">
        <v>44865</v>
      </c>
      <c r="H601">
        <v>151.12837219238281</v>
      </c>
      <c r="J601">
        <v>1.6745200422199527</v>
      </c>
    </row>
    <row r="602" spans="6:10" x14ac:dyDescent="0.25">
      <c r="F602" s="10">
        <v>44866</v>
      </c>
      <c r="H602">
        <v>148.47720336914063</v>
      </c>
      <c r="J602">
        <v>1.6451447815364295</v>
      </c>
    </row>
    <row r="603" spans="6:10" x14ac:dyDescent="0.25">
      <c r="F603" s="10">
        <v>44867</v>
      </c>
      <c r="H603">
        <v>142.938232421875</v>
      </c>
      <c r="J603">
        <v>1.5837723355164108</v>
      </c>
    </row>
    <row r="604" spans="6:10" x14ac:dyDescent="0.25">
      <c r="F604" s="10">
        <v>44868</v>
      </c>
      <c r="H604">
        <v>136.87693786621094</v>
      </c>
      <c r="J604">
        <v>1.5166124828162324</v>
      </c>
    </row>
    <row r="605" spans="6:10" x14ac:dyDescent="0.25">
      <c r="F605" s="10">
        <v>44869</v>
      </c>
      <c r="H605">
        <v>136.61039733886719</v>
      </c>
      <c r="J605">
        <v>1.513659182594532</v>
      </c>
    </row>
    <row r="606" spans="6:10" x14ac:dyDescent="0.25">
      <c r="F606" s="10">
        <v>44872</v>
      </c>
      <c r="H606">
        <v>137.14350891113281</v>
      </c>
      <c r="J606">
        <v>1.5195661211762683</v>
      </c>
    </row>
    <row r="607" spans="6:10" x14ac:dyDescent="0.25">
      <c r="F607" s="10">
        <v>44873</v>
      </c>
      <c r="H607">
        <v>137.71609497070313</v>
      </c>
      <c r="J607">
        <v>1.5259104416948914</v>
      </c>
    </row>
    <row r="608" spans="6:10" x14ac:dyDescent="0.25">
      <c r="F608" s="10">
        <v>44874</v>
      </c>
      <c r="H608">
        <v>133.14529418945313</v>
      </c>
      <c r="J608">
        <v>1.4752654343665883</v>
      </c>
    </row>
    <row r="609" spans="6:10" x14ac:dyDescent="0.25">
      <c r="F609" s="10">
        <v>44875</v>
      </c>
      <c r="H609">
        <v>144.99183654785156</v>
      </c>
      <c r="J609">
        <v>1.6065265094537562</v>
      </c>
    </row>
    <row r="610" spans="6:10" x14ac:dyDescent="0.25">
      <c r="F610" s="10">
        <v>44876</v>
      </c>
      <c r="H610">
        <v>147.78562927246094</v>
      </c>
      <c r="J610">
        <v>1.6374820596479405</v>
      </c>
    </row>
    <row r="611" spans="6:10" x14ac:dyDescent="0.25">
      <c r="F611" s="10">
        <v>44879</v>
      </c>
      <c r="H611">
        <v>146.3837890625</v>
      </c>
      <c r="J611">
        <v>1.6219495061405076</v>
      </c>
    </row>
    <row r="612" spans="6:10" x14ac:dyDescent="0.25">
      <c r="F612" s="10">
        <v>44880</v>
      </c>
      <c r="H612">
        <v>148.12130737304688</v>
      </c>
      <c r="J612">
        <v>1.6412014122685719</v>
      </c>
    </row>
    <row r="613" spans="6:10" x14ac:dyDescent="0.25">
      <c r="F613" s="10">
        <v>44881</v>
      </c>
      <c r="H613">
        <v>146.88726806640625</v>
      </c>
      <c r="J613">
        <v>1.6275281123985352</v>
      </c>
    </row>
    <row r="614" spans="6:10" x14ac:dyDescent="0.25">
      <c r="F614" s="10">
        <v>44882</v>
      </c>
      <c r="H614">
        <v>148.79261779785156</v>
      </c>
      <c r="J614">
        <v>1.6486396103023311</v>
      </c>
    </row>
    <row r="615" spans="6:10" x14ac:dyDescent="0.25">
      <c r="F615" s="10">
        <v>44883</v>
      </c>
      <c r="H615">
        <v>149.35528564453125</v>
      </c>
      <c r="J615">
        <v>1.6548740358619374</v>
      </c>
    </row>
    <row r="616" spans="6:10" x14ac:dyDescent="0.25">
      <c r="F616" s="10">
        <v>44886</v>
      </c>
      <c r="H616">
        <v>146.11724853515625</v>
      </c>
      <c r="J616">
        <v>1.6189962059188072</v>
      </c>
    </row>
    <row r="617" spans="6:10" x14ac:dyDescent="0.25">
      <c r="F617" s="10">
        <v>44887</v>
      </c>
      <c r="H617">
        <v>148.25950622558594</v>
      </c>
      <c r="J617">
        <v>1.642732671720595</v>
      </c>
    </row>
    <row r="618" spans="6:10" x14ac:dyDescent="0.25">
      <c r="F618" s="10">
        <v>44888</v>
      </c>
      <c r="H618">
        <v>149.13813781738281</v>
      </c>
      <c r="J618">
        <v>1.6524680125361406</v>
      </c>
    </row>
    <row r="619" spans="6:10" x14ac:dyDescent="0.25">
      <c r="F619" s="10">
        <v>44890</v>
      </c>
      <c r="H619">
        <v>146.21597290039063</v>
      </c>
      <c r="J619">
        <v>1.6200900834339436</v>
      </c>
    </row>
    <row r="620" spans="6:10" x14ac:dyDescent="0.25">
      <c r="F620" s="10">
        <v>44893</v>
      </c>
      <c r="H620">
        <v>142.375732421875</v>
      </c>
      <c r="J620">
        <v>1.5775397697176494</v>
      </c>
    </row>
    <row r="621" spans="6:10" x14ac:dyDescent="0.25">
      <c r="F621" s="10">
        <v>44894</v>
      </c>
      <c r="H621">
        <v>139.36471557617188</v>
      </c>
      <c r="J621">
        <v>1.5441773508518297</v>
      </c>
    </row>
    <row r="622" spans="6:10" x14ac:dyDescent="0.25">
      <c r="F622" s="10">
        <v>44895</v>
      </c>
      <c r="H622">
        <v>146.13702392578125</v>
      </c>
      <c r="J622">
        <v>1.61921531956017</v>
      </c>
    </row>
    <row r="623" spans="6:10" x14ac:dyDescent="0.25">
      <c r="F623" s="10">
        <v>44896</v>
      </c>
      <c r="H623">
        <v>146.41343688964844</v>
      </c>
      <c r="J623">
        <v>1.622278007533384</v>
      </c>
    </row>
    <row r="624" spans="6:10" x14ac:dyDescent="0.25">
      <c r="F624" s="10">
        <v>44897</v>
      </c>
      <c r="H624">
        <v>145.9197998046875</v>
      </c>
      <c r="J624">
        <v>1.6168084508885345</v>
      </c>
    </row>
    <row r="625" spans="6:10" x14ac:dyDescent="0.25">
      <c r="F625" s="10">
        <v>44900</v>
      </c>
      <c r="H625">
        <v>144.75492858886719</v>
      </c>
      <c r="J625">
        <v>1.6039015415557643</v>
      </c>
    </row>
    <row r="626" spans="6:10" x14ac:dyDescent="0.25">
      <c r="F626" s="10">
        <v>44901</v>
      </c>
      <c r="H626">
        <v>141.08247375488281</v>
      </c>
      <c r="J626">
        <v>1.5632103124076988</v>
      </c>
    </row>
    <row r="627" spans="6:10" x14ac:dyDescent="0.25">
      <c r="F627" s="10">
        <v>44902</v>
      </c>
      <c r="H627">
        <v>139.13766479492188</v>
      </c>
      <c r="J627">
        <v>1.5416616016361837</v>
      </c>
    </row>
    <row r="628" spans="6:10" x14ac:dyDescent="0.25">
      <c r="F628" s="10">
        <v>44903</v>
      </c>
      <c r="H628">
        <v>140.8258056640625</v>
      </c>
      <c r="J628">
        <v>1.5603663999375121</v>
      </c>
    </row>
    <row r="629" spans="6:10" x14ac:dyDescent="0.25">
      <c r="F629" s="10">
        <v>44904</v>
      </c>
      <c r="H629">
        <v>140.34208679199219</v>
      </c>
      <c r="J629">
        <v>1.5550067382516795</v>
      </c>
    </row>
    <row r="630" spans="6:10" x14ac:dyDescent="0.25">
      <c r="F630" s="10">
        <v>44907</v>
      </c>
      <c r="H630">
        <v>142.64228820800781</v>
      </c>
      <c r="J630">
        <v>1.5804932390085176</v>
      </c>
    </row>
    <row r="631" spans="6:10" x14ac:dyDescent="0.25">
      <c r="F631" s="10">
        <v>44908</v>
      </c>
      <c r="H631">
        <v>143.6097412109375</v>
      </c>
      <c r="J631">
        <v>1.5912127314493505</v>
      </c>
    </row>
    <row r="632" spans="6:10" x14ac:dyDescent="0.25">
      <c r="F632" s="10">
        <v>44909</v>
      </c>
      <c r="H632">
        <v>141.37864685058594</v>
      </c>
      <c r="J632">
        <v>1.5664919449531078</v>
      </c>
    </row>
    <row r="633" spans="6:10" x14ac:dyDescent="0.25">
      <c r="F633" s="10">
        <v>44910</v>
      </c>
      <c r="H633">
        <v>134.75442504882813</v>
      </c>
      <c r="J633">
        <v>1.493094792517472</v>
      </c>
    </row>
    <row r="634" spans="6:10" x14ac:dyDescent="0.25">
      <c r="F634" s="10">
        <v>44911</v>
      </c>
      <c r="H634">
        <v>132.78988647460938</v>
      </c>
      <c r="J634">
        <v>1.4713274753120975</v>
      </c>
    </row>
    <row r="635" spans="6:10" x14ac:dyDescent="0.25">
      <c r="F635" s="10">
        <v>44914</v>
      </c>
      <c r="H635">
        <v>130.67726135253906</v>
      </c>
      <c r="J635">
        <v>1.4479193418340184</v>
      </c>
    </row>
    <row r="636" spans="6:10" x14ac:dyDescent="0.25">
      <c r="F636" s="10">
        <v>44915</v>
      </c>
      <c r="H636">
        <v>130.608154296875</v>
      </c>
      <c r="J636">
        <v>1.4471536275734229</v>
      </c>
    </row>
    <row r="637" spans="6:10" x14ac:dyDescent="0.25">
      <c r="F637" s="10">
        <v>44916</v>
      </c>
      <c r="H637">
        <v>133.71784973144531</v>
      </c>
      <c r="J637">
        <v>1.4816094167468759</v>
      </c>
    </row>
    <row r="638" spans="6:10" x14ac:dyDescent="0.25">
      <c r="F638" s="10">
        <v>44917</v>
      </c>
      <c r="H638">
        <v>130.53903198242188</v>
      </c>
      <c r="J638">
        <v>1.4463877442436597</v>
      </c>
    </row>
    <row r="639" spans="6:10" x14ac:dyDescent="0.25">
      <c r="F639" s="10">
        <v>44918</v>
      </c>
      <c r="H639">
        <v>130.17378234863281</v>
      </c>
      <c r="J639">
        <v>1.4423407355759907</v>
      </c>
    </row>
    <row r="640" spans="6:10" x14ac:dyDescent="0.25">
      <c r="F640" s="10">
        <v>44922</v>
      </c>
      <c r="H640">
        <v>128.36717224121094</v>
      </c>
      <c r="J640">
        <v>1.4223232842564988</v>
      </c>
    </row>
    <row r="641" spans="6:10" x14ac:dyDescent="0.25">
      <c r="F641" s="10">
        <v>44923</v>
      </c>
      <c r="H641">
        <v>124.42820739746094</v>
      </c>
      <c r="J641">
        <v>1.3786790930250683</v>
      </c>
    </row>
    <row r="642" spans="6:10" x14ac:dyDescent="0.25">
      <c r="F642" s="10">
        <v>44924</v>
      </c>
      <c r="H642">
        <v>127.95255279541016</v>
      </c>
      <c r="J642">
        <v>1.4177292522966778</v>
      </c>
    </row>
    <row r="643" spans="6:10" x14ac:dyDescent="0.25">
      <c r="F643" s="10">
        <v>44925</v>
      </c>
      <c r="H643">
        <v>128.26846313476563</v>
      </c>
      <c r="J643">
        <v>1.4212295758105302</v>
      </c>
    </row>
    <row r="644" spans="6:10" x14ac:dyDescent="0.25">
      <c r="F644" s="10">
        <v>44929</v>
      </c>
      <c r="H644">
        <v>123.47061920166016</v>
      </c>
      <c r="J644">
        <v>1.3680689038011651</v>
      </c>
    </row>
    <row r="645" spans="6:10" x14ac:dyDescent="0.25">
      <c r="F645" s="10">
        <v>44930</v>
      </c>
      <c r="H645">
        <v>124.74412536621094</v>
      </c>
      <c r="J645">
        <v>1.3821795010735047</v>
      </c>
    </row>
    <row r="646" spans="6:10" x14ac:dyDescent="0.25">
      <c r="F646" s="10">
        <v>44931</v>
      </c>
      <c r="H646">
        <v>123.42125701904297</v>
      </c>
      <c r="J646">
        <v>1.367521965043597</v>
      </c>
    </row>
    <row r="647" spans="6:10" x14ac:dyDescent="0.25">
      <c r="F647" s="10">
        <v>44932</v>
      </c>
      <c r="H647">
        <v>127.96242523193359</v>
      </c>
      <c r="J647">
        <v>1.4178386400481915</v>
      </c>
    </row>
    <row r="648" spans="6:10" x14ac:dyDescent="0.25">
      <c r="F648" s="10">
        <v>44935</v>
      </c>
      <c r="H648">
        <v>128.48564147949219</v>
      </c>
      <c r="J648">
        <v>1.4236359372746625</v>
      </c>
    </row>
    <row r="649" spans="6:10" x14ac:dyDescent="0.25">
      <c r="F649" s="10">
        <v>44936</v>
      </c>
      <c r="H649">
        <v>129.05824279785156</v>
      </c>
      <c r="J649">
        <v>1.4299804268624532</v>
      </c>
    </row>
    <row r="650" spans="6:10" x14ac:dyDescent="0.25">
      <c r="F650" s="10">
        <v>44937</v>
      </c>
      <c r="H650">
        <v>131.78292846679688</v>
      </c>
      <c r="J650">
        <v>1.4601702627960422</v>
      </c>
    </row>
    <row r="651" spans="6:10" x14ac:dyDescent="0.25">
      <c r="F651" s="10">
        <v>44938</v>
      </c>
      <c r="H651">
        <v>131.70396423339844</v>
      </c>
      <c r="J651">
        <v>1.4592953298531008</v>
      </c>
    </row>
    <row r="652" spans="6:10" x14ac:dyDescent="0.25">
      <c r="F652" s="10">
        <v>44939</v>
      </c>
      <c r="H652">
        <v>133.03668212890625</v>
      </c>
      <c r="J652">
        <v>1.4740620000307705</v>
      </c>
    </row>
    <row r="653" spans="6:10" x14ac:dyDescent="0.25">
      <c r="F653" s="10">
        <v>44943</v>
      </c>
      <c r="H653">
        <v>134.20161437988281</v>
      </c>
      <c r="J653">
        <v>1.4869695856402116</v>
      </c>
    </row>
    <row r="654" spans="6:10" x14ac:dyDescent="0.25">
      <c r="F654" s="10">
        <v>44944</v>
      </c>
      <c r="H654">
        <v>133.48094177246094</v>
      </c>
      <c r="J654">
        <v>1.4789844488488841</v>
      </c>
    </row>
    <row r="655" spans="6:10" x14ac:dyDescent="0.25">
      <c r="F655" s="10">
        <v>44945</v>
      </c>
      <c r="H655">
        <v>133.54017639160156</v>
      </c>
      <c r="J655">
        <v>1.4796407753579659</v>
      </c>
    </row>
    <row r="656" spans="6:10" x14ac:dyDescent="0.25">
      <c r="F656" s="10">
        <v>44946</v>
      </c>
      <c r="H656">
        <v>136.10693359375</v>
      </c>
      <c r="J656">
        <v>1.5080807454056722</v>
      </c>
    </row>
    <row r="657" spans="6:10" x14ac:dyDescent="0.25">
      <c r="F657" s="10">
        <v>44949</v>
      </c>
      <c r="H657">
        <v>139.30548095703125</v>
      </c>
      <c r="J657">
        <v>1.5435210243427477</v>
      </c>
    </row>
    <row r="658" spans="6:10" x14ac:dyDescent="0.25">
      <c r="F658" s="10">
        <v>44950</v>
      </c>
      <c r="H658">
        <v>140.70733642578125</v>
      </c>
      <c r="J658">
        <v>1.5590537469193484</v>
      </c>
    </row>
    <row r="659" spans="6:10" x14ac:dyDescent="0.25">
      <c r="F659" s="10">
        <v>44951</v>
      </c>
      <c r="H659">
        <v>140.04591369628906</v>
      </c>
      <c r="J659">
        <v>1.5517251057062704</v>
      </c>
    </row>
    <row r="660" spans="6:10" x14ac:dyDescent="0.25">
      <c r="F660" s="10">
        <v>44952</v>
      </c>
      <c r="H660">
        <v>142.11906433105469</v>
      </c>
      <c r="J660">
        <v>1.5746958572474627</v>
      </c>
    </row>
    <row r="661" spans="6:10" x14ac:dyDescent="0.25">
      <c r="F661" s="10">
        <v>44953</v>
      </c>
      <c r="H661">
        <v>144.0638427734375</v>
      </c>
      <c r="J661">
        <v>1.5962442298806423</v>
      </c>
    </row>
    <row r="662" spans="6:10" x14ac:dyDescent="0.25">
      <c r="F662" s="10">
        <v>44956</v>
      </c>
      <c r="H662">
        <v>141.17135620117188</v>
      </c>
      <c r="J662">
        <v>1.564195140309657</v>
      </c>
    </row>
    <row r="663" spans="6:10" x14ac:dyDescent="0.25">
      <c r="F663" s="10">
        <v>44957</v>
      </c>
      <c r="H663">
        <v>142.44482421875</v>
      </c>
      <c r="J663">
        <v>1.5783053149090771</v>
      </c>
    </row>
    <row r="664" spans="6:10" x14ac:dyDescent="0.25">
      <c r="F664" s="10">
        <v>44958</v>
      </c>
      <c r="H664">
        <v>143.57023620605469</v>
      </c>
      <c r="J664">
        <v>1.5907750113741284</v>
      </c>
    </row>
    <row r="665" spans="6:10" x14ac:dyDescent="0.25">
      <c r="F665" s="10">
        <v>44959</v>
      </c>
      <c r="H665">
        <v>148.891357421875</v>
      </c>
      <c r="J665">
        <v>1.6497336568866352</v>
      </c>
    </row>
    <row r="666" spans="6:10" x14ac:dyDescent="0.25">
      <c r="F666" s="10">
        <v>44960</v>
      </c>
      <c r="H666">
        <v>152.52427673339844</v>
      </c>
      <c r="J666">
        <v>1.6899868278211432</v>
      </c>
    </row>
    <row r="667" spans="6:10" x14ac:dyDescent="0.25">
      <c r="F667" s="10">
        <v>44963</v>
      </c>
      <c r="H667">
        <v>149.78970336914063</v>
      </c>
      <c r="J667">
        <v>1.6596874350668727</v>
      </c>
    </row>
    <row r="668" spans="6:10" x14ac:dyDescent="0.25">
      <c r="F668" s="10">
        <v>44964</v>
      </c>
      <c r="H668">
        <v>152.67234802246094</v>
      </c>
      <c r="J668">
        <v>1.6916274750246798</v>
      </c>
    </row>
    <row r="669" spans="6:10" x14ac:dyDescent="0.25">
      <c r="F669" s="10">
        <v>44965</v>
      </c>
      <c r="H669">
        <v>149.97726440429688</v>
      </c>
      <c r="J669">
        <v>1.6617656332764641</v>
      </c>
    </row>
    <row r="670" spans="6:10" x14ac:dyDescent="0.25">
      <c r="F670" s="10">
        <v>44966</v>
      </c>
      <c r="H670">
        <v>148.940673828125</v>
      </c>
      <c r="J670">
        <v>1.6502800884367002</v>
      </c>
    </row>
    <row r="671" spans="6:10" x14ac:dyDescent="0.25">
      <c r="F671" s="10">
        <v>44967</v>
      </c>
      <c r="H671">
        <v>149.3065185546875</v>
      </c>
      <c r="J671">
        <v>1.6543336908019102</v>
      </c>
    </row>
    <row r="672" spans="6:10" x14ac:dyDescent="0.25">
      <c r="F672" s="10">
        <v>44970</v>
      </c>
      <c r="H672">
        <v>152.11448669433594</v>
      </c>
      <c r="J672">
        <v>1.6854463062529048</v>
      </c>
    </row>
    <row r="673" spans="6:10" x14ac:dyDescent="0.25">
      <c r="F673" s="10">
        <v>44971</v>
      </c>
      <c r="H673">
        <v>151.47183227539063</v>
      </c>
      <c r="J673">
        <v>1.6783256201161201</v>
      </c>
    </row>
    <row r="674" spans="6:10" x14ac:dyDescent="0.25">
      <c r="F674" s="10">
        <v>44972</v>
      </c>
      <c r="H674">
        <v>153.57777404785156</v>
      </c>
      <c r="J674">
        <v>1.7016597012987387</v>
      </c>
    </row>
    <row r="675" spans="6:10" x14ac:dyDescent="0.25">
      <c r="F675" s="10">
        <v>44973</v>
      </c>
      <c r="H675">
        <v>151.97605895996094</v>
      </c>
      <c r="J675">
        <v>1.6839125107633659</v>
      </c>
    </row>
    <row r="676" spans="6:10" x14ac:dyDescent="0.25">
      <c r="F676" s="10">
        <v>44974</v>
      </c>
      <c r="H676">
        <v>150.82914733886719</v>
      </c>
      <c r="J676">
        <v>1.671204595841</v>
      </c>
    </row>
    <row r="677" spans="6:10" x14ac:dyDescent="0.25">
      <c r="F677" s="10">
        <v>44978</v>
      </c>
      <c r="H677">
        <v>146.8050537109375</v>
      </c>
      <c r="J677">
        <v>1.62661716772287</v>
      </c>
    </row>
    <row r="678" spans="6:10" x14ac:dyDescent="0.25">
      <c r="F678" s="10">
        <v>44979</v>
      </c>
      <c r="H678">
        <v>147.23019409179688</v>
      </c>
      <c r="J678">
        <v>1.6313277728738327</v>
      </c>
    </row>
    <row r="679" spans="6:10" x14ac:dyDescent="0.25">
      <c r="F679" s="10">
        <v>44980</v>
      </c>
      <c r="H679">
        <v>147.71467590332031</v>
      </c>
      <c r="J679">
        <v>1.6366958880180511</v>
      </c>
    </row>
    <row r="680" spans="6:10" x14ac:dyDescent="0.25">
      <c r="F680" s="10">
        <v>44981</v>
      </c>
      <c r="H680">
        <v>145.05502319335938</v>
      </c>
      <c r="J680">
        <v>1.6072266248772769</v>
      </c>
    </row>
    <row r="681" spans="6:10" x14ac:dyDescent="0.25">
      <c r="F681" s="10">
        <v>44984</v>
      </c>
      <c r="H681">
        <v>146.25138854980469</v>
      </c>
      <c r="J681">
        <v>1.6204824929722175</v>
      </c>
    </row>
    <row r="682" spans="6:10" x14ac:dyDescent="0.25">
      <c r="F682" s="10">
        <v>44985</v>
      </c>
      <c r="H682">
        <v>145.74711608886719</v>
      </c>
      <c r="J682">
        <v>1.6148950951174683</v>
      </c>
    </row>
    <row r="683" spans="6:10" x14ac:dyDescent="0.25">
      <c r="F683" s="10">
        <v>44986</v>
      </c>
      <c r="H683">
        <v>143.67082214355469</v>
      </c>
      <c r="J683">
        <v>1.5918895153277262</v>
      </c>
    </row>
    <row r="684" spans="6:10" x14ac:dyDescent="0.25">
      <c r="F684" s="10">
        <v>44987</v>
      </c>
      <c r="H684">
        <v>144.26406860351563</v>
      </c>
      <c r="J684">
        <v>1.5984627554994397</v>
      </c>
    </row>
    <row r="685" spans="6:10" x14ac:dyDescent="0.25">
      <c r="F685" s="10">
        <v>44988</v>
      </c>
      <c r="H685">
        <v>149.32627868652344</v>
      </c>
      <c r="J685">
        <v>1.6545526353741054</v>
      </c>
    </row>
    <row r="686" spans="6:10" x14ac:dyDescent="0.25">
      <c r="F686" s="10">
        <v>44991</v>
      </c>
      <c r="H686">
        <v>152.09471130371094</v>
      </c>
      <c r="J686">
        <v>1.6852271926115421</v>
      </c>
    </row>
    <row r="687" spans="6:10" x14ac:dyDescent="0.25">
      <c r="F687" s="10">
        <v>44992</v>
      </c>
      <c r="H687">
        <v>149.88986206054688</v>
      </c>
      <c r="J687">
        <v>1.6607972050837747</v>
      </c>
    </row>
    <row r="688" spans="6:10" x14ac:dyDescent="0.25">
      <c r="F688" s="10">
        <v>44993</v>
      </c>
      <c r="H688">
        <v>151.14553833007813</v>
      </c>
      <c r="J688">
        <v>1.6747102450336355</v>
      </c>
    </row>
    <row r="689" spans="6:10" x14ac:dyDescent="0.25">
      <c r="F689" s="10">
        <v>44994</v>
      </c>
      <c r="H689">
        <v>148.89126586914063</v>
      </c>
      <c r="J689">
        <v>1.649732642471629</v>
      </c>
    </row>
    <row r="690" spans="6:10" x14ac:dyDescent="0.25">
      <c r="F690" s="10">
        <v>44995</v>
      </c>
      <c r="H690">
        <v>146.82481384277344</v>
      </c>
      <c r="J690">
        <v>1.626836112295065</v>
      </c>
    </row>
    <row r="691" spans="6:10" x14ac:dyDescent="0.25">
      <c r="F691" s="10">
        <v>44998</v>
      </c>
      <c r="H691">
        <v>148.77261352539063</v>
      </c>
      <c r="J691">
        <v>1.6484179606234528</v>
      </c>
    </row>
    <row r="692" spans="6:10" x14ac:dyDescent="0.25">
      <c r="F692" s="10">
        <v>44999</v>
      </c>
      <c r="H692">
        <v>150.86869812011719</v>
      </c>
      <c r="J692">
        <v>1.6716428231237253</v>
      </c>
    </row>
    <row r="693" spans="6:10" x14ac:dyDescent="0.25">
      <c r="F693" s="10">
        <v>45000</v>
      </c>
      <c r="H693">
        <v>151.26419067382813</v>
      </c>
      <c r="J693">
        <v>1.6760249268818117</v>
      </c>
    </row>
    <row r="694" spans="6:10" x14ac:dyDescent="0.25">
      <c r="F694" s="10">
        <v>45001</v>
      </c>
      <c r="H694">
        <v>154.09194946289063</v>
      </c>
      <c r="J694">
        <v>1.7073568250433366</v>
      </c>
    </row>
    <row r="695" spans="6:10" x14ac:dyDescent="0.25">
      <c r="F695" s="10">
        <v>45002</v>
      </c>
      <c r="H695">
        <v>153.25149536132813</v>
      </c>
      <c r="J695">
        <v>1.6980444952854217</v>
      </c>
    </row>
    <row r="696" spans="6:10" x14ac:dyDescent="0.25">
      <c r="F696" s="10">
        <v>45005</v>
      </c>
      <c r="H696">
        <v>155.62442016601563</v>
      </c>
      <c r="J696">
        <v>1.7243367796956044</v>
      </c>
    </row>
    <row r="697" spans="6:10" x14ac:dyDescent="0.25">
      <c r="F697" s="10">
        <v>45006</v>
      </c>
      <c r="H697">
        <v>157.48321533203125</v>
      </c>
      <c r="J697">
        <v>1.7449324475686925</v>
      </c>
    </row>
    <row r="698" spans="6:10" x14ac:dyDescent="0.25">
      <c r="F698" s="10">
        <v>45007</v>
      </c>
      <c r="H698">
        <v>156.04959106445313</v>
      </c>
      <c r="J698">
        <v>1.7290477229849026</v>
      </c>
    </row>
    <row r="699" spans="6:10" x14ac:dyDescent="0.25">
      <c r="F699" s="10">
        <v>45008</v>
      </c>
      <c r="H699">
        <v>157.13717651367188</v>
      </c>
      <c r="J699">
        <v>1.7410982969831805</v>
      </c>
    </row>
    <row r="700" spans="6:10" x14ac:dyDescent="0.25">
      <c r="F700" s="10">
        <v>45009</v>
      </c>
      <c r="H700">
        <v>158.44227600097656</v>
      </c>
      <c r="J700">
        <v>1.7555589519672803</v>
      </c>
    </row>
    <row r="701" spans="6:10" x14ac:dyDescent="0.25">
      <c r="F701" s="10">
        <v>45012</v>
      </c>
      <c r="H701">
        <v>156.4945068359375</v>
      </c>
      <c r="J701">
        <v>1.733977441777228</v>
      </c>
    </row>
    <row r="702" spans="6:10" x14ac:dyDescent="0.25">
      <c r="F702" s="10">
        <v>45013</v>
      </c>
      <c r="H702">
        <v>155.87159729003906</v>
      </c>
      <c r="J702">
        <v>1.7270755311434707</v>
      </c>
    </row>
    <row r="703" spans="6:10" x14ac:dyDescent="0.25">
      <c r="F703" s="10">
        <v>45014</v>
      </c>
      <c r="H703">
        <v>158.9564208984375</v>
      </c>
      <c r="J703">
        <v>1.7612557375735429</v>
      </c>
    </row>
    <row r="704" spans="6:10" x14ac:dyDescent="0.25">
      <c r="F704" s="10">
        <v>45015</v>
      </c>
      <c r="H704">
        <v>160.52847290039063</v>
      </c>
      <c r="J704">
        <v>1.7786742576468717</v>
      </c>
    </row>
    <row r="705" spans="6:10" x14ac:dyDescent="0.25">
      <c r="F705" s="10">
        <v>45016</v>
      </c>
      <c r="H705">
        <v>163.03984069824219</v>
      </c>
      <c r="J705">
        <v>1.8065005066157611</v>
      </c>
    </row>
    <row r="706" spans="6:10" x14ac:dyDescent="0.25">
      <c r="F706" s="10">
        <v>45019</v>
      </c>
      <c r="H706">
        <v>164.29548645019531</v>
      </c>
      <c r="J706">
        <v>1.8204132084272864</v>
      </c>
    </row>
    <row r="707" spans="6:10" x14ac:dyDescent="0.25">
      <c r="F707" s="10">
        <v>45020</v>
      </c>
      <c r="H707">
        <v>163.76161193847656</v>
      </c>
      <c r="J707">
        <v>1.8144978163871643</v>
      </c>
    </row>
    <row r="708" spans="6:10" x14ac:dyDescent="0.25">
      <c r="F708" s="10">
        <v>45021</v>
      </c>
      <c r="H708">
        <v>161.91265869140625</v>
      </c>
      <c r="J708">
        <v>1.7940111981272546</v>
      </c>
    </row>
    <row r="709" spans="6:10" x14ac:dyDescent="0.25">
      <c r="F709" s="10">
        <v>45022</v>
      </c>
      <c r="H709">
        <v>162.80253601074219</v>
      </c>
      <c r="J709">
        <v>1.8038711429194085</v>
      </c>
    </row>
    <row r="710" spans="6:10" x14ac:dyDescent="0.25">
      <c r="F710" s="10">
        <v>45026</v>
      </c>
      <c r="H710">
        <v>160.20220947265625</v>
      </c>
      <c r="J710">
        <v>1.7750592207027225</v>
      </c>
    </row>
    <row r="711" spans="6:10" x14ac:dyDescent="0.25">
      <c r="F711" s="10">
        <v>45027</v>
      </c>
      <c r="H711">
        <v>158.986083984375</v>
      </c>
      <c r="J711">
        <v>1.7615844080355871</v>
      </c>
    </row>
    <row r="712" spans="6:10" x14ac:dyDescent="0.25">
      <c r="F712" s="10">
        <v>45028</v>
      </c>
      <c r="H712">
        <v>158.29397583007813</v>
      </c>
      <c r="J712">
        <v>1.7539157687262279</v>
      </c>
    </row>
    <row r="713" spans="6:10" x14ac:dyDescent="0.25">
      <c r="F713" s="10">
        <v>45029</v>
      </c>
      <c r="H713">
        <v>163.6923828125</v>
      </c>
      <c r="J713">
        <v>1.8137307495732271</v>
      </c>
    </row>
    <row r="714" spans="6:10" x14ac:dyDescent="0.25">
      <c r="F714" s="10">
        <v>45030</v>
      </c>
      <c r="H714">
        <v>163.34632873535156</v>
      </c>
      <c r="J714">
        <v>1.8098964299185476</v>
      </c>
    </row>
    <row r="715" spans="6:10" x14ac:dyDescent="0.25">
      <c r="F715" s="10">
        <v>45033</v>
      </c>
      <c r="H715">
        <v>163.36610412597656</v>
      </c>
      <c r="J715">
        <v>1.8101155435599103</v>
      </c>
    </row>
    <row r="716" spans="6:10" x14ac:dyDescent="0.25">
      <c r="F716" s="10">
        <v>45034</v>
      </c>
      <c r="H716">
        <v>164.59211730957031</v>
      </c>
      <c r="J716">
        <v>1.8236999130477269</v>
      </c>
    </row>
    <row r="717" spans="6:10" x14ac:dyDescent="0.25">
      <c r="F717" s="10">
        <v>45035</v>
      </c>
      <c r="H717">
        <v>165.73904418945313</v>
      </c>
      <c r="J717">
        <v>1.8364079970392608</v>
      </c>
    </row>
    <row r="718" spans="6:10" x14ac:dyDescent="0.25">
      <c r="F718" s="10">
        <v>45036</v>
      </c>
      <c r="H718">
        <v>164.77008056640625</v>
      </c>
      <c r="J718">
        <v>1.8256717667508238</v>
      </c>
    </row>
    <row r="719" spans="6:10" x14ac:dyDescent="0.25">
      <c r="F719" s="10">
        <v>45037</v>
      </c>
      <c r="H719">
        <v>163.15847778320313</v>
      </c>
      <c r="J719">
        <v>1.8078150193947695</v>
      </c>
    </row>
    <row r="720" spans="6:10" x14ac:dyDescent="0.25">
      <c r="F720" s="10">
        <v>45040</v>
      </c>
      <c r="H720">
        <v>163.4649658203125</v>
      </c>
      <c r="J720">
        <v>1.811210942697556</v>
      </c>
    </row>
    <row r="721" spans="6:10" x14ac:dyDescent="0.25">
      <c r="F721" s="10">
        <v>45041</v>
      </c>
      <c r="H721">
        <v>161.92257690429688</v>
      </c>
      <c r="J721">
        <v>1.7941210930862714</v>
      </c>
    </row>
    <row r="722" spans="6:10" x14ac:dyDescent="0.25">
      <c r="F722" s="10">
        <v>45042</v>
      </c>
      <c r="H722">
        <v>161.91265869140625</v>
      </c>
      <c r="J722">
        <v>1.7940111981272546</v>
      </c>
    </row>
    <row r="723" spans="6:10" x14ac:dyDescent="0.25">
      <c r="F723" s="10">
        <v>45043</v>
      </c>
      <c r="H723">
        <v>166.51023864746094</v>
      </c>
      <c r="J723">
        <v>1.844952921844903</v>
      </c>
    </row>
    <row r="724" spans="6:10" x14ac:dyDescent="0.25">
      <c r="F724" s="10">
        <v>45044</v>
      </c>
      <c r="H724">
        <v>167.76591491699219</v>
      </c>
      <c r="J724">
        <v>1.8588659617947638</v>
      </c>
    </row>
    <row r="725" spans="6:10" x14ac:dyDescent="0.25">
      <c r="F725" s="10">
        <v>45047</v>
      </c>
      <c r="H725">
        <v>167.67692565917969</v>
      </c>
      <c r="J725">
        <v>1.8578799504086316</v>
      </c>
    </row>
    <row r="726" spans="6:10" x14ac:dyDescent="0.25">
      <c r="F726" s="10">
        <v>45048</v>
      </c>
      <c r="H726">
        <v>166.6387939453125</v>
      </c>
      <c r="J726">
        <v>1.8463773295829284</v>
      </c>
    </row>
    <row r="727" spans="6:10" x14ac:dyDescent="0.25">
      <c r="F727" s="10">
        <v>45049</v>
      </c>
      <c r="H727">
        <v>165.56106567382813</v>
      </c>
      <c r="J727">
        <v>1.8344359742669964</v>
      </c>
    </row>
    <row r="728" spans="6:10" x14ac:dyDescent="0.25">
      <c r="F728" s="10">
        <v>45050</v>
      </c>
      <c r="H728">
        <v>163.9197998046875</v>
      </c>
      <c r="J728">
        <v>1.8162505564488982</v>
      </c>
    </row>
    <row r="729" spans="6:10" x14ac:dyDescent="0.25">
      <c r="F729" s="10">
        <v>45051</v>
      </c>
      <c r="H729">
        <v>171.61203002929688</v>
      </c>
      <c r="J729">
        <v>1.9014813671406294</v>
      </c>
    </row>
    <row r="730" spans="6:10" x14ac:dyDescent="0.25">
      <c r="F730" s="10">
        <v>45054</v>
      </c>
      <c r="H730">
        <v>171.54280090332031</v>
      </c>
      <c r="J730">
        <v>1.9007143003266924</v>
      </c>
    </row>
    <row r="731" spans="6:10" x14ac:dyDescent="0.25">
      <c r="F731" s="10">
        <v>45055</v>
      </c>
      <c r="H731">
        <v>169.83236694335938</v>
      </c>
      <c r="J731">
        <v>1.8817624919713278</v>
      </c>
    </row>
    <row r="732" spans="6:10" x14ac:dyDescent="0.25">
      <c r="F732" s="10">
        <v>45056</v>
      </c>
      <c r="H732">
        <v>171.60214233398438</v>
      </c>
      <c r="J732">
        <v>1.9013718103199482</v>
      </c>
    </row>
    <row r="733" spans="6:10" x14ac:dyDescent="0.25">
      <c r="F733" s="10">
        <v>45057</v>
      </c>
      <c r="H733">
        <v>171.78999328613281</v>
      </c>
      <c r="J733">
        <v>1.9034532208437263</v>
      </c>
    </row>
    <row r="734" spans="6:10" x14ac:dyDescent="0.25">
      <c r="F734" s="10">
        <v>45058</v>
      </c>
      <c r="H734">
        <v>170.85932922363281</v>
      </c>
      <c r="J734">
        <v>1.8931413541662616</v>
      </c>
    </row>
    <row r="735" spans="6:10" x14ac:dyDescent="0.25">
      <c r="F735" s="10">
        <v>45061</v>
      </c>
      <c r="H735">
        <v>170.36428833007813</v>
      </c>
      <c r="J735">
        <v>1.8876562431579822</v>
      </c>
    </row>
    <row r="736" spans="6:10" x14ac:dyDescent="0.25">
      <c r="F736" s="10">
        <v>45062</v>
      </c>
      <c r="H736">
        <v>170.36428833007813</v>
      </c>
      <c r="J736">
        <v>1.8876562431579822</v>
      </c>
    </row>
    <row r="737" spans="6:10" x14ac:dyDescent="0.25">
      <c r="F737" s="10">
        <v>45063</v>
      </c>
      <c r="H737">
        <v>170.97810363769531</v>
      </c>
      <c r="J737">
        <v>1.8944573885677796</v>
      </c>
    </row>
    <row r="738" spans="6:10" x14ac:dyDescent="0.25">
      <c r="F738" s="10">
        <v>45064</v>
      </c>
      <c r="H738">
        <v>173.31472778320313</v>
      </c>
      <c r="J738">
        <v>1.9203474574279609</v>
      </c>
    </row>
    <row r="739" spans="6:10" x14ac:dyDescent="0.25">
      <c r="F739" s="10">
        <v>45065</v>
      </c>
      <c r="H739">
        <v>173.42362976074219</v>
      </c>
      <c r="J739">
        <v>1.9215541040779653</v>
      </c>
    </row>
    <row r="740" spans="6:10" x14ac:dyDescent="0.25">
      <c r="F740" s="10">
        <v>45068</v>
      </c>
      <c r="H740">
        <v>172.47312927246094</v>
      </c>
      <c r="J740">
        <v>1.9110224474824671</v>
      </c>
    </row>
    <row r="741" spans="6:10" x14ac:dyDescent="0.25">
      <c r="F741" s="10">
        <v>45069</v>
      </c>
      <c r="H741">
        <v>169.85932922363281</v>
      </c>
      <c r="J741">
        <v>1.8820612371906857</v>
      </c>
    </row>
    <row r="742" spans="6:10" x14ac:dyDescent="0.25">
      <c r="F742" s="10">
        <v>45070</v>
      </c>
      <c r="H742">
        <v>170.13653564453125</v>
      </c>
      <c r="J742">
        <v>1.8851327167606213</v>
      </c>
    </row>
    <row r="743" spans="6:10" x14ac:dyDescent="0.25">
      <c r="F743" s="10">
        <v>45071</v>
      </c>
      <c r="H743">
        <v>171.27516174316406</v>
      </c>
      <c r="J743">
        <v>1.8977488271249163</v>
      </c>
    </row>
    <row r="744" spans="6:10" x14ac:dyDescent="0.25">
      <c r="F744" s="10">
        <v>45072</v>
      </c>
      <c r="H744">
        <v>173.69096374511719</v>
      </c>
      <c r="J744">
        <v>1.924516195896387</v>
      </c>
    </row>
    <row r="745" spans="6:10" x14ac:dyDescent="0.25">
      <c r="F745" s="10">
        <v>45076</v>
      </c>
      <c r="H745">
        <v>175.54240417480469</v>
      </c>
      <c r="J745">
        <v>1.9450303724306348</v>
      </c>
    </row>
    <row r="746" spans="6:10" x14ac:dyDescent="0.25">
      <c r="F746" s="10">
        <v>45077</v>
      </c>
      <c r="H746">
        <v>175.49293518066406</v>
      </c>
      <c r="J746">
        <v>1.9444822501888925</v>
      </c>
    </row>
    <row r="747" spans="6:10" x14ac:dyDescent="0.25">
      <c r="F747" s="10">
        <v>45078</v>
      </c>
      <c r="H747">
        <v>178.30476379394531</v>
      </c>
      <c r="J747">
        <v>1.9756376401393199</v>
      </c>
    </row>
    <row r="748" spans="6:10" x14ac:dyDescent="0.25">
      <c r="F748" s="10">
        <v>45079</v>
      </c>
      <c r="H748">
        <v>179.15623474121094</v>
      </c>
      <c r="J748">
        <v>1.9850720378363271</v>
      </c>
    </row>
    <row r="749" spans="6:10" x14ac:dyDescent="0.25">
      <c r="F749" s="10">
        <v>45082</v>
      </c>
      <c r="H749">
        <v>177.79983520507813</v>
      </c>
      <c r="J749">
        <v>1.970042972310359</v>
      </c>
    </row>
    <row r="750" spans="6:10" x14ac:dyDescent="0.25">
      <c r="F750" s="10">
        <v>45083</v>
      </c>
      <c r="H750">
        <v>177.43351745605469</v>
      </c>
      <c r="J750">
        <v>1.9659841288009496</v>
      </c>
    </row>
    <row r="751" spans="6:10" x14ac:dyDescent="0.25">
      <c r="F751" s="10">
        <v>45084</v>
      </c>
      <c r="H751">
        <v>176.0572509765625</v>
      </c>
      <c r="J751">
        <v>1.9507349352186123</v>
      </c>
    </row>
    <row r="752" spans="6:10" x14ac:dyDescent="0.25">
      <c r="F752" s="10">
        <v>45085</v>
      </c>
      <c r="H752">
        <v>178.78001403808594</v>
      </c>
      <c r="J752">
        <v>1.9809034684370688</v>
      </c>
    </row>
    <row r="753" spans="6:10" x14ac:dyDescent="0.25">
      <c r="F753" s="10">
        <v>45086</v>
      </c>
      <c r="H753">
        <v>179.1661376953125</v>
      </c>
      <c r="J753">
        <v>1.9851817637261762</v>
      </c>
    </row>
    <row r="754" spans="6:10" x14ac:dyDescent="0.25">
      <c r="F754" s="10">
        <v>45089</v>
      </c>
      <c r="H754">
        <v>181.96807861328125</v>
      </c>
      <c r="J754">
        <v>2.0162275968559222</v>
      </c>
    </row>
    <row r="755" spans="6:10" x14ac:dyDescent="0.25">
      <c r="F755" s="10">
        <v>45090</v>
      </c>
      <c r="H755">
        <v>181.49284362792969</v>
      </c>
      <c r="J755">
        <v>2.0109619376273407</v>
      </c>
    </row>
    <row r="756" spans="6:10" x14ac:dyDescent="0.25">
      <c r="F756" s="10">
        <v>45091</v>
      </c>
      <c r="H756">
        <v>182.12651062011719</v>
      </c>
      <c r="J756">
        <v>2.0179830420243396</v>
      </c>
    </row>
    <row r="757" spans="6:10" x14ac:dyDescent="0.25">
      <c r="F757" s="10">
        <v>45092</v>
      </c>
      <c r="H757">
        <v>184.16607666015625</v>
      </c>
      <c r="J757">
        <v>2.040581672327384</v>
      </c>
    </row>
    <row r="758" spans="6:10" x14ac:dyDescent="0.25">
      <c r="F758" s="10">
        <v>45093</v>
      </c>
      <c r="H758">
        <v>183.08688354492188</v>
      </c>
      <c r="J758">
        <v>2.0286240863713512</v>
      </c>
    </row>
    <row r="759" spans="6:10" x14ac:dyDescent="0.25">
      <c r="F759" s="10">
        <v>45097</v>
      </c>
      <c r="H759">
        <v>183.17599487304688</v>
      </c>
      <c r="J759">
        <v>2.0296114503108251</v>
      </c>
    </row>
    <row r="760" spans="6:10" x14ac:dyDescent="0.25">
      <c r="F760" s="10">
        <v>45098</v>
      </c>
      <c r="H760">
        <v>182.13641357421875</v>
      </c>
      <c r="J760">
        <v>2.0180927679141885</v>
      </c>
    </row>
    <row r="761" spans="6:10" x14ac:dyDescent="0.25">
      <c r="F761" s="10">
        <v>45099</v>
      </c>
      <c r="H761">
        <v>185.146240234375</v>
      </c>
      <c r="J761">
        <v>2.0514419993849264</v>
      </c>
    </row>
    <row r="762" spans="6:10" x14ac:dyDescent="0.25">
      <c r="F762" s="10">
        <v>45100</v>
      </c>
      <c r="H762">
        <v>184.82943725585938</v>
      </c>
      <c r="J762">
        <v>2.0479317853247623</v>
      </c>
    </row>
    <row r="763" spans="6:10" x14ac:dyDescent="0.25">
      <c r="F763" s="10">
        <v>45103</v>
      </c>
      <c r="H763">
        <v>183.43344116210938</v>
      </c>
      <c r="J763">
        <v>2.0324639853085658</v>
      </c>
    </row>
    <row r="764" spans="6:10" x14ac:dyDescent="0.25">
      <c r="F764" s="10">
        <v>45104</v>
      </c>
      <c r="H764">
        <v>186.19575500488281</v>
      </c>
      <c r="J764">
        <v>2.0630707458097475</v>
      </c>
    </row>
    <row r="765" spans="6:10" x14ac:dyDescent="0.25">
      <c r="F765" s="10">
        <v>45105</v>
      </c>
      <c r="H765">
        <v>187.37394714355469</v>
      </c>
      <c r="J765">
        <v>2.0761252525259355</v>
      </c>
    </row>
    <row r="766" spans="6:10" x14ac:dyDescent="0.25">
      <c r="F766" s="10">
        <v>45106</v>
      </c>
      <c r="H766">
        <v>187.7105712890625</v>
      </c>
      <c r="J766">
        <v>2.0798550874349653</v>
      </c>
    </row>
    <row r="767" spans="6:10" x14ac:dyDescent="0.25">
      <c r="F767" s="10">
        <v>45107</v>
      </c>
      <c r="H767">
        <v>192.04716491699219</v>
      </c>
      <c r="J767">
        <v>2.127905052107963</v>
      </c>
    </row>
    <row r="768" spans="6:10" x14ac:dyDescent="0.25">
      <c r="F768" s="10">
        <v>45110</v>
      </c>
      <c r="H768">
        <v>190.55213928222656</v>
      </c>
      <c r="J768">
        <v>2.1113399931932753</v>
      </c>
    </row>
    <row r="769" spans="6:10" x14ac:dyDescent="0.25">
      <c r="F769" s="10">
        <v>45112</v>
      </c>
      <c r="H769">
        <v>189.433349609375</v>
      </c>
      <c r="J769">
        <v>2.0989436727470139</v>
      </c>
    </row>
    <row r="770" spans="6:10" x14ac:dyDescent="0.25">
      <c r="F770" s="10">
        <v>45113</v>
      </c>
      <c r="H770">
        <v>189.90858459472656</v>
      </c>
      <c r="J770">
        <v>2.104209331975595</v>
      </c>
    </row>
    <row r="771" spans="6:10" x14ac:dyDescent="0.25">
      <c r="F771" s="10">
        <v>45114</v>
      </c>
      <c r="H771">
        <v>188.78977966308594</v>
      </c>
      <c r="J771">
        <v>2.0918128424601661</v>
      </c>
    </row>
    <row r="772" spans="6:10" x14ac:dyDescent="0.25">
      <c r="F772" s="10">
        <v>45117</v>
      </c>
      <c r="H772">
        <v>186.74029541015625</v>
      </c>
      <c r="J772">
        <v>2.0691043171981045</v>
      </c>
    </row>
    <row r="773" spans="6:10" x14ac:dyDescent="0.25">
      <c r="F773" s="10">
        <v>45118</v>
      </c>
      <c r="H773">
        <v>186.21556091308594</v>
      </c>
      <c r="J773">
        <v>2.0632901975894455</v>
      </c>
    </row>
    <row r="774" spans="6:10" x14ac:dyDescent="0.25">
      <c r="F774" s="10">
        <v>45119</v>
      </c>
      <c r="H774">
        <v>187.88880920410156</v>
      </c>
      <c r="J774">
        <v>2.0818299843830808</v>
      </c>
    </row>
    <row r="775" spans="6:10" x14ac:dyDescent="0.25">
      <c r="F775" s="10">
        <v>45120</v>
      </c>
      <c r="H775">
        <v>188.65116882324219</v>
      </c>
      <c r="J775">
        <v>2.0902770181406143</v>
      </c>
    </row>
    <row r="776" spans="6:10" x14ac:dyDescent="0.25">
      <c r="F776" s="10">
        <v>45121</v>
      </c>
      <c r="H776">
        <v>188.7996826171875</v>
      </c>
      <c r="J776">
        <v>2.0919225683500149</v>
      </c>
    </row>
    <row r="777" spans="6:10" x14ac:dyDescent="0.25">
      <c r="F777" s="10">
        <v>45124</v>
      </c>
      <c r="H777">
        <v>192.06698608398438</v>
      </c>
      <c r="J777">
        <v>2.1281246729568286</v>
      </c>
    </row>
    <row r="778" spans="6:10" x14ac:dyDescent="0.25">
      <c r="F778" s="10">
        <v>45125</v>
      </c>
      <c r="H778">
        <v>191.80955505371094</v>
      </c>
      <c r="J778">
        <v>2.125272307028256</v>
      </c>
    </row>
    <row r="779" spans="6:10" x14ac:dyDescent="0.25">
      <c r="F779" s="10">
        <v>45126</v>
      </c>
      <c r="H779">
        <v>193.16596984863281</v>
      </c>
      <c r="J779">
        <v>2.1403015416233919</v>
      </c>
    </row>
    <row r="780" spans="6:10" x14ac:dyDescent="0.25">
      <c r="F780" s="10">
        <v>45127</v>
      </c>
      <c r="H780">
        <v>191.21551513671875</v>
      </c>
      <c r="J780">
        <v>2.1186902752598211</v>
      </c>
    </row>
    <row r="781" spans="6:10" x14ac:dyDescent="0.25">
      <c r="F781" s="10">
        <v>45128</v>
      </c>
      <c r="H781">
        <v>190.03729248046875</v>
      </c>
      <c r="J781">
        <v>2.1056354304052975</v>
      </c>
    </row>
    <row r="782" spans="6:10" x14ac:dyDescent="0.25">
      <c r="F782" s="10">
        <v>45131</v>
      </c>
      <c r="H782">
        <v>190.83927917480469</v>
      </c>
      <c r="J782">
        <v>2.1145215367913952</v>
      </c>
    </row>
    <row r="783" spans="6:10" x14ac:dyDescent="0.25">
      <c r="F783" s="10">
        <v>45132</v>
      </c>
      <c r="H783">
        <v>191.70060729980469</v>
      </c>
      <c r="J783">
        <v>2.1240651531707484</v>
      </c>
    </row>
    <row r="784" spans="6:10" x14ac:dyDescent="0.25">
      <c r="F784" s="10">
        <v>45133</v>
      </c>
      <c r="H784">
        <v>192.5718994140625</v>
      </c>
      <c r="J784">
        <v>2.133719171716622</v>
      </c>
    </row>
    <row r="785" spans="6:10" x14ac:dyDescent="0.25">
      <c r="F785" s="10">
        <v>45134</v>
      </c>
      <c r="H785">
        <v>191.30462646484375</v>
      </c>
      <c r="J785">
        <v>2.1196776391992951</v>
      </c>
    </row>
    <row r="786" spans="6:10" x14ac:dyDescent="0.25">
      <c r="F786" s="10">
        <v>45135</v>
      </c>
      <c r="H786">
        <v>193.88871765136719</v>
      </c>
      <c r="J786">
        <v>2.1483096718215293</v>
      </c>
    </row>
    <row r="787" spans="6:10" x14ac:dyDescent="0.25">
      <c r="F787" s="10">
        <v>45138</v>
      </c>
      <c r="H787">
        <v>194.5025634765625</v>
      </c>
      <c r="J787">
        <v>2.1551111553696622</v>
      </c>
    </row>
    <row r="788" spans="6:10" x14ac:dyDescent="0.25">
      <c r="F788" s="10">
        <v>45139</v>
      </c>
      <c r="H788">
        <v>193.67091369628906</v>
      </c>
      <c r="J788">
        <v>2.1458963785215204</v>
      </c>
    </row>
    <row r="789" spans="6:10" x14ac:dyDescent="0.25">
      <c r="F789" s="10">
        <v>45140</v>
      </c>
      <c r="H789">
        <v>190.67095947265625</v>
      </c>
      <c r="J789">
        <v>2.1126565348022965</v>
      </c>
    </row>
    <row r="790" spans="6:10" x14ac:dyDescent="0.25">
      <c r="F790" s="10">
        <v>45141</v>
      </c>
      <c r="H790">
        <v>189.27493286132813</v>
      </c>
      <c r="J790">
        <v>2.097188396647764</v>
      </c>
    </row>
    <row r="791" spans="6:10" x14ac:dyDescent="0.25">
      <c r="F791" s="10">
        <v>45142</v>
      </c>
      <c r="H791">
        <v>180.18594360351563</v>
      </c>
      <c r="J791">
        <v>1.9964813324814501</v>
      </c>
    </row>
    <row r="792" spans="6:10" x14ac:dyDescent="0.25">
      <c r="F792" s="10">
        <v>45145</v>
      </c>
      <c r="H792">
        <v>177.07707214355469</v>
      </c>
      <c r="J792">
        <v>1.962034673043054</v>
      </c>
    </row>
    <row r="793" spans="6:10" x14ac:dyDescent="0.25">
      <c r="F793" s="10">
        <v>45146</v>
      </c>
      <c r="H793">
        <v>178.01763916015625</v>
      </c>
      <c r="J793">
        <v>1.9724562656103677</v>
      </c>
    </row>
    <row r="794" spans="6:10" x14ac:dyDescent="0.25">
      <c r="F794" s="10">
        <v>45147</v>
      </c>
      <c r="H794">
        <v>176.42361450195313</v>
      </c>
      <c r="J794">
        <v>1.9547942859355247</v>
      </c>
    </row>
    <row r="795" spans="6:10" x14ac:dyDescent="0.25">
      <c r="F795" s="10">
        <v>45148</v>
      </c>
      <c r="H795">
        <v>176.20578002929688</v>
      </c>
      <c r="J795">
        <v>1.9523806544971807</v>
      </c>
    </row>
    <row r="796" spans="6:10" x14ac:dyDescent="0.25">
      <c r="F796" s="10">
        <v>45149</v>
      </c>
      <c r="H796">
        <v>176.2652587890625</v>
      </c>
      <c r="J796">
        <v>1.953039686112946</v>
      </c>
    </row>
    <row r="797" spans="6:10" x14ac:dyDescent="0.25">
      <c r="F797" s="10">
        <v>45152</v>
      </c>
      <c r="H797">
        <v>177.92094421386719</v>
      </c>
      <c r="J797">
        <v>1.9713848742945377</v>
      </c>
    </row>
    <row r="798" spans="6:10" x14ac:dyDescent="0.25">
      <c r="F798" s="10">
        <v>45153</v>
      </c>
      <c r="H798">
        <v>175.92817687988281</v>
      </c>
      <c r="J798">
        <v>1.9493047791288847</v>
      </c>
    </row>
    <row r="799" spans="6:10" x14ac:dyDescent="0.25">
      <c r="F799" s="10">
        <v>45154</v>
      </c>
      <c r="H799">
        <v>175.05570983886719</v>
      </c>
      <c r="J799">
        <v>1.939637742257097</v>
      </c>
    </row>
    <row r="800" spans="6:10" x14ac:dyDescent="0.25">
      <c r="F800" s="10">
        <v>45155</v>
      </c>
      <c r="H800">
        <v>172.50776672363281</v>
      </c>
      <c r="J800">
        <v>1.9114062344931873</v>
      </c>
    </row>
    <row r="801" spans="6:10" x14ac:dyDescent="0.25">
      <c r="F801" s="10">
        <v>45156</v>
      </c>
      <c r="H801">
        <v>172.99357604980469</v>
      </c>
      <c r="J801">
        <v>1.9167890586549974</v>
      </c>
    </row>
    <row r="802" spans="6:10" x14ac:dyDescent="0.25">
      <c r="F802" s="10">
        <v>45159</v>
      </c>
      <c r="H802">
        <v>174.33200073242188</v>
      </c>
      <c r="J802">
        <v>1.9316189607013936</v>
      </c>
    </row>
    <row r="803" spans="6:10" x14ac:dyDescent="0.25">
      <c r="F803" s="10">
        <v>45160</v>
      </c>
      <c r="H803">
        <v>175.71005249023438</v>
      </c>
      <c r="J803">
        <v>1.946887935376354</v>
      </c>
    </row>
    <row r="804" spans="6:10" x14ac:dyDescent="0.25">
      <c r="F804" s="10">
        <v>45161</v>
      </c>
      <c r="H804">
        <v>179.56669616699219</v>
      </c>
      <c r="J804">
        <v>1.989619998447945</v>
      </c>
    </row>
    <row r="805" spans="6:10" x14ac:dyDescent="0.25">
      <c r="F805" s="10">
        <v>45162</v>
      </c>
      <c r="H805">
        <v>174.86737060546875</v>
      </c>
      <c r="J805">
        <v>1.937550921519952</v>
      </c>
    </row>
    <row r="806" spans="6:10" x14ac:dyDescent="0.25">
      <c r="F806" s="10">
        <v>45163</v>
      </c>
      <c r="H806">
        <v>177.07823181152344</v>
      </c>
      <c r="J806">
        <v>1.9620475222998006</v>
      </c>
    </row>
    <row r="807" spans="6:10" x14ac:dyDescent="0.25">
      <c r="F807" s="10">
        <v>45166</v>
      </c>
      <c r="H807">
        <v>178.64469909667969</v>
      </c>
      <c r="J807">
        <v>1.9794041630577444</v>
      </c>
    </row>
    <row r="808" spans="6:10" x14ac:dyDescent="0.25">
      <c r="F808" s="10">
        <v>45167</v>
      </c>
      <c r="H808">
        <v>182.54096984863281</v>
      </c>
      <c r="J808">
        <v>2.0225752987578995</v>
      </c>
    </row>
    <row r="809" spans="6:10" x14ac:dyDescent="0.25">
      <c r="F809" s="10">
        <v>45168</v>
      </c>
      <c r="H809">
        <v>186.04071044921875</v>
      </c>
      <c r="J809">
        <v>2.0613528339965637</v>
      </c>
    </row>
    <row r="810" spans="6:10" x14ac:dyDescent="0.25">
      <c r="F810" s="10">
        <v>45169</v>
      </c>
      <c r="H810">
        <v>186.25881958007813</v>
      </c>
      <c r="J810">
        <v>2.0637695086799264</v>
      </c>
    </row>
    <row r="811" spans="6:10" x14ac:dyDescent="0.25">
      <c r="F811" s="10">
        <v>45170</v>
      </c>
      <c r="H811">
        <v>187.83518981933594</v>
      </c>
      <c r="J811">
        <v>2.0812358753277196</v>
      </c>
    </row>
    <row r="812" spans="6:10" x14ac:dyDescent="0.25">
      <c r="F812" s="10">
        <v>45174</v>
      </c>
      <c r="H812">
        <v>188.0731201171875</v>
      </c>
      <c r="J812">
        <v>2.0838721708599484</v>
      </c>
    </row>
    <row r="813" spans="6:10" x14ac:dyDescent="0.25">
      <c r="F813" s="10">
        <v>45175</v>
      </c>
      <c r="H813">
        <v>181.34136962890625</v>
      </c>
      <c r="J813">
        <v>2.0092835879994029</v>
      </c>
    </row>
    <row r="814" spans="6:10" x14ac:dyDescent="0.25">
      <c r="F814" s="10">
        <v>45176</v>
      </c>
      <c r="H814">
        <v>176.03726196289063</v>
      </c>
      <c r="J814">
        <v>1.9505134546089016</v>
      </c>
    </row>
    <row r="815" spans="6:10" x14ac:dyDescent="0.25">
      <c r="F815" s="10">
        <v>45177</v>
      </c>
      <c r="H815">
        <v>176.65191650390625</v>
      </c>
      <c r="J815">
        <v>1.9573238988229236</v>
      </c>
    </row>
    <row r="816" spans="6:10" x14ac:dyDescent="0.25">
      <c r="F816" s="10">
        <v>45180</v>
      </c>
      <c r="H816">
        <v>177.82179260253906</v>
      </c>
      <c r="J816">
        <v>1.9702862628427054</v>
      </c>
    </row>
    <row r="817" spans="6:10" x14ac:dyDescent="0.25">
      <c r="F817" s="10">
        <v>45181</v>
      </c>
      <c r="H817">
        <v>174.78805541992188</v>
      </c>
      <c r="J817">
        <v>1.9366720999861533</v>
      </c>
    </row>
    <row r="818" spans="6:10" x14ac:dyDescent="0.25">
      <c r="F818" s="10">
        <v>45182</v>
      </c>
      <c r="H818">
        <v>172.71597290039063</v>
      </c>
      <c r="J818">
        <v>1.9137131832867011</v>
      </c>
    </row>
    <row r="819" spans="6:10" x14ac:dyDescent="0.25">
      <c r="F819" s="10">
        <v>45183</v>
      </c>
      <c r="H819">
        <v>174.23284912109375</v>
      </c>
      <c r="J819">
        <v>1.9305203492495611</v>
      </c>
    </row>
    <row r="820" spans="6:10" x14ac:dyDescent="0.25">
      <c r="F820" s="10">
        <v>45184</v>
      </c>
      <c r="H820">
        <v>173.50910949707031</v>
      </c>
      <c r="J820">
        <v>1.9225012295555222</v>
      </c>
    </row>
    <row r="821" spans="6:10" x14ac:dyDescent="0.25">
      <c r="F821" s="10">
        <v>45187</v>
      </c>
      <c r="H821">
        <v>176.4437255859375</v>
      </c>
      <c r="J821">
        <v>1.9550171190985772</v>
      </c>
    </row>
    <row r="822" spans="6:10" x14ac:dyDescent="0.25">
      <c r="F822" s="10">
        <v>45188</v>
      </c>
      <c r="H822">
        <v>177.53428649902344</v>
      </c>
      <c r="J822">
        <v>1.9671006615845601</v>
      </c>
    </row>
    <row r="823" spans="6:10" x14ac:dyDescent="0.25">
      <c r="F823" s="10">
        <v>45189</v>
      </c>
      <c r="H823">
        <v>173.98500061035156</v>
      </c>
      <c r="J823">
        <v>1.9277741587583155</v>
      </c>
    </row>
    <row r="824" spans="6:10" x14ac:dyDescent="0.25">
      <c r="F824" s="10">
        <v>45190</v>
      </c>
      <c r="H824">
        <v>172.4383544921875</v>
      </c>
      <c r="J824">
        <v>1.9106371388492376</v>
      </c>
    </row>
    <row r="825" spans="6:10" x14ac:dyDescent="0.25">
      <c r="F825" s="10">
        <v>45191</v>
      </c>
      <c r="H825">
        <v>173.29098510742188</v>
      </c>
      <c r="J825">
        <v>1.9200843858029915</v>
      </c>
    </row>
    <row r="826" spans="6:10" x14ac:dyDescent="0.25">
      <c r="F826" s="10">
        <v>45194</v>
      </c>
      <c r="H826">
        <v>174.56993103027344</v>
      </c>
      <c r="J826">
        <v>1.9342552562336224</v>
      </c>
    </row>
    <row r="827" spans="6:10" x14ac:dyDescent="0.25">
      <c r="F827" s="10">
        <v>45195</v>
      </c>
      <c r="H827">
        <v>170.48527526855469</v>
      </c>
      <c r="J827">
        <v>1.8889967925888191</v>
      </c>
    </row>
    <row r="828" spans="6:10" x14ac:dyDescent="0.25">
      <c r="F828" s="10">
        <v>45196</v>
      </c>
      <c r="H828">
        <v>168.96836853027344</v>
      </c>
      <c r="J828">
        <v>1.8721892884876239</v>
      </c>
    </row>
    <row r="829" spans="6:10" x14ac:dyDescent="0.25">
      <c r="F829" s="10">
        <v>45197</v>
      </c>
      <c r="H829">
        <v>169.22615051269531</v>
      </c>
      <c r="J829">
        <v>1.8750455430070541</v>
      </c>
    </row>
    <row r="830" spans="6:10" x14ac:dyDescent="0.25">
      <c r="F830" s="10">
        <v>45198</v>
      </c>
      <c r="H830">
        <v>169.74169921875</v>
      </c>
      <c r="J830">
        <v>1.8807578829767468</v>
      </c>
    </row>
    <row r="831" spans="6:10" x14ac:dyDescent="0.25">
      <c r="F831" s="10">
        <v>45201</v>
      </c>
      <c r="H831">
        <v>172.25993347167969</v>
      </c>
      <c r="J831">
        <v>1.9086602130711092</v>
      </c>
    </row>
    <row r="832" spans="6:10" x14ac:dyDescent="0.25">
      <c r="F832" s="10">
        <v>45202</v>
      </c>
      <c r="H832">
        <v>170.92146301269531</v>
      </c>
      <c r="J832">
        <v>1.8938298038172099</v>
      </c>
    </row>
    <row r="833" spans="6:10" x14ac:dyDescent="0.25">
      <c r="F833" s="10">
        <v>45203</v>
      </c>
      <c r="H833">
        <v>172.17066955566406</v>
      </c>
      <c r="J833">
        <v>1.9076711584399582</v>
      </c>
    </row>
    <row r="834" spans="6:10" x14ac:dyDescent="0.25">
      <c r="F834" s="10">
        <v>45204</v>
      </c>
      <c r="H834">
        <v>173.40994262695313</v>
      </c>
      <c r="J834">
        <v>1.9214024490345221</v>
      </c>
    </row>
    <row r="835" spans="6:10" x14ac:dyDescent="0.25">
      <c r="F835" s="10">
        <v>45205</v>
      </c>
      <c r="H835">
        <v>175.96786499023438</v>
      </c>
      <c r="J835">
        <v>1.9497445280341195</v>
      </c>
    </row>
    <row r="836" spans="6:10" x14ac:dyDescent="0.25">
      <c r="F836" s="10">
        <v>45208</v>
      </c>
      <c r="H836">
        <v>177.45497131347656</v>
      </c>
      <c r="J836">
        <v>1.9662218400507614</v>
      </c>
    </row>
    <row r="837" spans="6:10" x14ac:dyDescent="0.25">
      <c r="F837" s="10">
        <v>45209</v>
      </c>
      <c r="H837">
        <v>176.86012268066406</v>
      </c>
      <c r="J837">
        <v>1.9596308476164375</v>
      </c>
    </row>
    <row r="838" spans="6:10" x14ac:dyDescent="0.25">
      <c r="F838" s="10">
        <v>45210</v>
      </c>
      <c r="H838">
        <v>178.25801086425781</v>
      </c>
      <c r="J838">
        <v>1.9751196122094314</v>
      </c>
    </row>
    <row r="839" spans="6:10" x14ac:dyDescent="0.25">
      <c r="F839" s="10">
        <v>45211</v>
      </c>
      <c r="H839">
        <v>179.16021728515625</v>
      </c>
      <c r="J839">
        <v>1.9851161648891016</v>
      </c>
    </row>
    <row r="840" spans="6:10" x14ac:dyDescent="0.25">
      <c r="F840" s="10">
        <v>45212</v>
      </c>
      <c r="H840">
        <v>177.31619262695313</v>
      </c>
      <c r="J840">
        <v>1.9646841559703649</v>
      </c>
    </row>
    <row r="841" spans="6:10" x14ac:dyDescent="0.25">
      <c r="F841" s="10">
        <v>45215</v>
      </c>
      <c r="H841">
        <v>177.18728637695313</v>
      </c>
      <c r="J841">
        <v>1.963255859641482</v>
      </c>
    </row>
    <row r="842" spans="6:10" x14ac:dyDescent="0.25">
      <c r="F842" s="10">
        <v>45216</v>
      </c>
      <c r="H842">
        <v>175.63075256347656</v>
      </c>
      <c r="J842">
        <v>1.9460092829117228</v>
      </c>
    </row>
    <row r="843" spans="6:10" x14ac:dyDescent="0.25">
      <c r="F843" s="10">
        <v>45217</v>
      </c>
      <c r="H843">
        <v>174.33200073242188</v>
      </c>
      <c r="J843">
        <v>1.9316189607013936</v>
      </c>
    </row>
    <row r="844" spans="6:10" x14ac:dyDescent="0.25">
      <c r="F844" s="10">
        <v>45218</v>
      </c>
      <c r="H844">
        <v>173.95524597167969</v>
      </c>
      <c r="J844">
        <v>1.9274444738812651</v>
      </c>
    </row>
    <row r="845" spans="6:10" x14ac:dyDescent="0.25">
      <c r="F845" s="10">
        <v>45219</v>
      </c>
      <c r="H845">
        <v>171.39738464355469</v>
      </c>
      <c r="J845">
        <v>1.8991030711583385</v>
      </c>
    </row>
    <row r="846" spans="6:10" x14ac:dyDescent="0.25">
      <c r="F846" s="10">
        <v>45222</v>
      </c>
      <c r="H846">
        <v>171.51634216308594</v>
      </c>
      <c r="J846">
        <v>1.9004211343898691</v>
      </c>
    </row>
    <row r="847" spans="6:10" x14ac:dyDescent="0.25">
      <c r="F847" s="10">
        <v>45223</v>
      </c>
      <c r="H847">
        <v>171.95257568359375</v>
      </c>
      <c r="J847">
        <v>1.9052546528257628</v>
      </c>
    </row>
    <row r="848" spans="6:10" x14ac:dyDescent="0.25">
      <c r="F848" s="10">
        <v>45224</v>
      </c>
      <c r="H848">
        <v>169.63264465332031</v>
      </c>
      <c r="J848">
        <v>1.8795495456350653</v>
      </c>
    </row>
    <row r="849" spans="6:10" x14ac:dyDescent="0.25">
      <c r="F849" s="10">
        <v>45225</v>
      </c>
      <c r="H849">
        <v>165.45875549316406</v>
      </c>
      <c r="J849">
        <v>1.8333023654974463</v>
      </c>
    </row>
    <row r="850" spans="6:10" x14ac:dyDescent="0.25">
      <c r="F850" s="10">
        <v>45226</v>
      </c>
      <c r="H850">
        <v>166.77734375</v>
      </c>
      <c r="J850">
        <v>1.8479124776258091</v>
      </c>
    </row>
    <row r="851" spans="6:10" x14ac:dyDescent="0.25">
      <c r="F851" s="10">
        <v>45229</v>
      </c>
      <c r="H851">
        <v>168.82957458496094</v>
      </c>
      <c r="J851">
        <v>1.8706514353380597</v>
      </c>
    </row>
    <row r="852" spans="6:10" x14ac:dyDescent="0.25">
      <c r="F852" s="10">
        <v>45230</v>
      </c>
      <c r="H852">
        <v>169.30548095703125</v>
      </c>
      <c r="J852">
        <v>1.8759245336100208</v>
      </c>
    </row>
    <row r="853" spans="6:10" x14ac:dyDescent="0.25">
      <c r="F853" s="10">
        <v>45231</v>
      </c>
      <c r="H853">
        <v>172.47804260253906</v>
      </c>
      <c r="J853">
        <v>1.9110768877544724</v>
      </c>
    </row>
    <row r="854" spans="6:10" x14ac:dyDescent="0.25">
      <c r="F854" s="10">
        <v>45232</v>
      </c>
      <c r="H854">
        <v>176.04716491699219</v>
      </c>
      <c r="J854">
        <v>1.9506231804987506</v>
      </c>
    </row>
    <row r="855" spans="6:10" x14ac:dyDescent="0.25">
      <c r="F855" s="10">
        <v>45233</v>
      </c>
      <c r="H855">
        <v>175.13505554199219</v>
      </c>
      <c r="J855">
        <v>1.9405169019292314</v>
      </c>
    </row>
    <row r="856" spans="6:10" x14ac:dyDescent="0.25">
      <c r="F856" s="10">
        <v>45236</v>
      </c>
      <c r="H856">
        <v>177.69291687011719</v>
      </c>
      <c r="J856">
        <v>1.9688583046521579</v>
      </c>
    </row>
    <row r="857" spans="6:10" x14ac:dyDescent="0.25">
      <c r="F857" s="10">
        <v>45237</v>
      </c>
      <c r="H857">
        <v>180.26069641113281</v>
      </c>
      <c r="J857">
        <v>1.9973096023341013</v>
      </c>
    </row>
    <row r="858" spans="6:10" x14ac:dyDescent="0.25">
      <c r="F858" s="10">
        <v>45238</v>
      </c>
      <c r="H858">
        <v>181.32151794433594</v>
      </c>
      <c r="J858">
        <v>2.0090636290122017</v>
      </c>
    </row>
    <row r="859" spans="6:10" x14ac:dyDescent="0.25">
      <c r="F859" s="10">
        <v>45239</v>
      </c>
      <c r="H859">
        <v>180.84565734863281</v>
      </c>
      <c r="J859">
        <v>2.0037910379477437</v>
      </c>
    </row>
    <row r="860" spans="6:10" x14ac:dyDescent="0.25">
      <c r="F860" s="10">
        <v>45240</v>
      </c>
      <c r="H860">
        <v>185.04487609863281</v>
      </c>
      <c r="J860">
        <v>2.0503188729037749</v>
      </c>
    </row>
    <row r="861" spans="6:10" x14ac:dyDescent="0.25">
      <c r="F861" s="10">
        <v>45243</v>
      </c>
      <c r="H861">
        <v>183.45652770996094</v>
      </c>
      <c r="J861">
        <v>2.0327197869593232</v>
      </c>
    </row>
    <row r="862" spans="6:10" x14ac:dyDescent="0.25">
      <c r="F862" s="10">
        <v>45244</v>
      </c>
      <c r="H862">
        <v>186.07734680175781</v>
      </c>
      <c r="J862">
        <v>2.0617587690682546</v>
      </c>
    </row>
    <row r="863" spans="6:10" x14ac:dyDescent="0.25">
      <c r="F863" s="10">
        <v>45245</v>
      </c>
      <c r="H863">
        <v>186.64317321777344</v>
      </c>
      <c r="J863">
        <v>2.0680281919455785</v>
      </c>
    </row>
    <row r="864" spans="6:10" x14ac:dyDescent="0.25">
      <c r="F864" s="10">
        <v>45246</v>
      </c>
      <c r="H864">
        <v>188.33084106445313</v>
      </c>
      <c r="J864">
        <v>2.0867277491027076</v>
      </c>
    </row>
    <row r="865" spans="6:10" x14ac:dyDescent="0.25">
      <c r="F865" s="10">
        <v>45247</v>
      </c>
      <c r="H865">
        <v>188.31097412109375</v>
      </c>
      <c r="J865">
        <v>2.0865076210463385</v>
      </c>
    </row>
    <row r="866" spans="6:10" x14ac:dyDescent="0.25">
      <c r="F866" s="10">
        <v>45250</v>
      </c>
      <c r="H866">
        <v>190.05816650390625</v>
      </c>
      <c r="J866">
        <v>2.105866717026736</v>
      </c>
    </row>
    <row r="867" spans="6:10" x14ac:dyDescent="0.25">
      <c r="F867" s="10">
        <v>45251</v>
      </c>
      <c r="H867">
        <v>189.25407409667969</v>
      </c>
      <c r="J867">
        <v>2.0969572790954936</v>
      </c>
    </row>
    <row r="868" spans="6:10" x14ac:dyDescent="0.25">
      <c r="F868" s="10">
        <v>45252</v>
      </c>
      <c r="H868">
        <v>189.919189453125</v>
      </c>
      <c r="J868">
        <v>2.1043268350471593</v>
      </c>
    </row>
    <row r="869" spans="6:10" x14ac:dyDescent="0.25">
      <c r="F869" s="10">
        <v>45254</v>
      </c>
      <c r="H869">
        <v>188.58892822265625</v>
      </c>
      <c r="J869">
        <v>2.0895873850054922</v>
      </c>
    </row>
    <row r="870" spans="6:10" x14ac:dyDescent="0.25">
      <c r="F870" s="10">
        <v>45257</v>
      </c>
      <c r="H870">
        <v>188.41023254394531</v>
      </c>
      <c r="J870">
        <v>2.0876074159823452</v>
      </c>
    </row>
    <row r="871" spans="6:10" x14ac:dyDescent="0.25">
      <c r="F871" s="10">
        <v>45258</v>
      </c>
      <c r="H871">
        <v>189.01579284667969</v>
      </c>
      <c r="J871">
        <v>2.094317094972407</v>
      </c>
    </row>
    <row r="872" spans="6:10" x14ac:dyDescent="0.25">
      <c r="F872" s="10">
        <v>45259</v>
      </c>
      <c r="H872">
        <v>187.99330139160156</v>
      </c>
      <c r="J872">
        <v>2.0829877700436148</v>
      </c>
    </row>
    <row r="873" spans="6:10" x14ac:dyDescent="0.25">
      <c r="F873" s="10">
        <v>45260</v>
      </c>
      <c r="H873">
        <v>188.569091796875</v>
      </c>
      <c r="J873">
        <v>2.0893675950874586</v>
      </c>
    </row>
    <row r="874" spans="6:10" x14ac:dyDescent="0.25">
      <c r="F874" s="10">
        <v>45261</v>
      </c>
      <c r="H874">
        <v>189.84970092773438</v>
      </c>
      <c r="J874">
        <v>2.103556894057371</v>
      </c>
    </row>
    <row r="875" spans="6:10" x14ac:dyDescent="0.25">
      <c r="F875" s="10">
        <v>45264</v>
      </c>
      <c r="H875">
        <v>188.05284118652344</v>
      </c>
      <c r="J875">
        <v>2.0836474779360508</v>
      </c>
    </row>
    <row r="876" spans="6:10" x14ac:dyDescent="0.25">
      <c r="F876" s="10">
        <v>45265</v>
      </c>
      <c r="H876">
        <v>192.01385498046875</v>
      </c>
      <c r="J876">
        <v>2.1275359741148341</v>
      </c>
    </row>
    <row r="877" spans="6:10" x14ac:dyDescent="0.25">
      <c r="F877" s="10">
        <v>45266</v>
      </c>
      <c r="H877">
        <v>190.921875</v>
      </c>
      <c r="J877">
        <v>2.1154367081962535</v>
      </c>
    </row>
    <row r="878" spans="6:10" x14ac:dyDescent="0.25">
      <c r="F878" s="10">
        <v>45267</v>
      </c>
      <c r="H878">
        <v>192.85769653320313</v>
      </c>
      <c r="J878">
        <v>2.1368858372279824</v>
      </c>
    </row>
    <row r="879" spans="6:10" x14ac:dyDescent="0.25">
      <c r="F879" s="10">
        <v>45268</v>
      </c>
      <c r="H879">
        <v>194.28721618652344</v>
      </c>
      <c r="J879">
        <v>2.1527250822056563</v>
      </c>
    </row>
    <row r="880" spans="6:10" x14ac:dyDescent="0.25">
      <c r="F880" s="10">
        <v>45271</v>
      </c>
      <c r="H880">
        <v>191.77558898925781</v>
      </c>
      <c r="J880">
        <v>2.1248959590609156</v>
      </c>
    </row>
    <row r="881" spans="6:10" x14ac:dyDescent="0.25">
      <c r="F881" s="10">
        <v>45272</v>
      </c>
      <c r="H881">
        <v>193.29449462890625</v>
      </c>
      <c r="J881">
        <v>2.141725611223082</v>
      </c>
    </row>
    <row r="882" spans="6:10" x14ac:dyDescent="0.25">
      <c r="F882" s="10">
        <v>45273</v>
      </c>
      <c r="H882">
        <v>196.5208740234375</v>
      </c>
      <c r="J882">
        <v>2.1774742723220752</v>
      </c>
    </row>
    <row r="883" spans="6:10" x14ac:dyDescent="0.25">
      <c r="F883" s="10">
        <v>45274</v>
      </c>
      <c r="H883">
        <v>196.66976928710938</v>
      </c>
      <c r="J883">
        <v>2.1791240492606692</v>
      </c>
    </row>
    <row r="884" spans="6:10" x14ac:dyDescent="0.25">
      <c r="F884" s="10">
        <v>45275</v>
      </c>
      <c r="H884">
        <v>196.13368225097656</v>
      </c>
      <c r="J884">
        <v>2.1731841421912277</v>
      </c>
    </row>
    <row r="885" spans="6:10" x14ac:dyDescent="0.25">
      <c r="F885" s="10">
        <v>45278</v>
      </c>
      <c r="H885">
        <v>194.46591186523438</v>
      </c>
      <c r="J885">
        <v>2.1547050512288033</v>
      </c>
    </row>
    <row r="886" spans="6:10" x14ac:dyDescent="0.25">
      <c r="F886" s="10">
        <v>45279</v>
      </c>
      <c r="H886">
        <v>195.50827026367188</v>
      </c>
      <c r="J886">
        <v>2.1662545042139643</v>
      </c>
    </row>
    <row r="887" spans="6:10" x14ac:dyDescent="0.25">
      <c r="F887" s="10">
        <v>45280</v>
      </c>
      <c r="H887">
        <v>193.41360473632813</v>
      </c>
      <c r="J887">
        <v>2.1430453651462895</v>
      </c>
    </row>
    <row r="888" spans="6:10" x14ac:dyDescent="0.25">
      <c r="F888" s="10">
        <v>45281</v>
      </c>
      <c r="H888">
        <v>193.26467895507813</v>
      </c>
      <c r="J888">
        <v>2.1413952500693605</v>
      </c>
    </row>
    <row r="889" spans="6:10" x14ac:dyDescent="0.25">
      <c r="F889" s="10">
        <v>45282</v>
      </c>
      <c r="H889">
        <v>192.19253540039063</v>
      </c>
      <c r="J889">
        <v>2.1295157740688135</v>
      </c>
    </row>
    <row r="890" spans="6:10" x14ac:dyDescent="0.25">
      <c r="F890" s="10">
        <v>45286</v>
      </c>
      <c r="H890">
        <v>191.64656066894531</v>
      </c>
      <c r="J890">
        <v>2.1234663101786908</v>
      </c>
    </row>
    <row r="891" spans="6:10" x14ac:dyDescent="0.25">
      <c r="F891" s="10">
        <v>45287</v>
      </c>
      <c r="H891">
        <v>191.74581909179688</v>
      </c>
      <c r="J891">
        <v>2.1245661051146976</v>
      </c>
    </row>
    <row r="892" spans="6:10" x14ac:dyDescent="0.25">
      <c r="F892" s="10">
        <v>45288</v>
      </c>
      <c r="H892">
        <v>192.17269897460938</v>
      </c>
      <c r="J892">
        <v>2.1292959841507799</v>
      </c>
    </row>
    <row r="893" spans="6:10" x14ac:dyDescent="0.25">
      <c r="F893" s="10">
        <v>45289</v>
      </c>
      <c r="H893">
        <v>191.13032531738281</v>
      </c>
      <c r="J893">
        <v>2.117746362096451</v>
      </c>
    </row>
    <row r="894" spans="6:10" x14ac:dyDescent="0.25">
      <c r="F894" s="10">
        <v>45293</v>
      </c>
      <c r="H894">
        <v>184.29043579101563</v>
      </c>
      <c r="J894">
        <v>2.0419595860442872</v>
      </c>
    </row>
    <row r="895" spans="6:10" x14ac:dyDescent="0.25">
      <c r="F895" s="10">
        <v>45294</v>
      </c>
      <c r="H895">
        <v>182.91050720214844</v>
      </c>
      <c r="J895">
        <v>2.0266698158616974</v>
      </c>
    </row>
    <row r="896" spans="6:10" x14ac:dyDescent="0.25">
      <c r="F896" s="10">
        <v>45295</v>
      </c>
      <c r="H896">
        <v>180.58753967285156</v>
      </c>
      <c r="J896">
        <v>2.0009310639066236</v>
      </c>
    </row>
    <row r="897" spans="6:10" x14ac:dyDescent="0.25">
      <c r="F897" s="10">
        <v>45296</v>
      </c>
      <c r="H897">
        <v>179.86285400390625</v>
      </c>
      <c r="J897">
        <v>1.9929014619241863</v>
      </c>
    </row>
    <row r="898" spans="6:10" x14ac:dyDescent="0.25">
      <c r="F898" s="10">
        <v>45299</v>
      </c>
      <c r="H898">
        <v>184.21099853515625</v>
      </c>
      <c r="J898">
        <v>2.0410794119571465</v>
      </c>
    </row>
    <row r="899" spans="6:10" x14ac:dyDescent="0.25">
      <c r="F899" s="10">
        <v>45300</v>
      </c>
      <c r="H899">
        <v>183.79405212402344</v>
      </c>
      <c r="J899">
        <v>2.0364595969492485</v>
      </c>
    </row>
    <row r="900" spans="6:10" x14ac:dyDescent="0.25">
      <c r="F900" s="10">
        <v>45301</v>
      </c>
      <c r="H900">
        <v>184.83642578125</v>
      </c>
      <c r="J900">
        <v>2.0480092190035775</v>
      </c>
    </row>
    <row r="901" spans="6:10" x14ac:dyDescent="0.25">
      <c r="F901" s="10">
        <v>45302</v>
      </c>
      <c r="H901">
        <v>184.24076843261719</v>
      </c>
      <c r="J901">
        <v>2.0414092659033645</v>
      </c>
    </row>
    <row r="902" spans="6:10" x14ac:dyDescent="0.25">
      <c r="F902" s="10">
        <v>45303</v>
      </c>
      <c r="H902">
        <v>184.56837463378906</v>
      </c>
      <c r="J902">
        <v>2.0450391809342729</v>
      </c>
    </row>
    <row r="903" spans="6:10" x14ac:dyDescent="0.25">
      <c r="F903" s="10">
        <v>45307</v>
      </c>
      <c r="H903">
        <v>182.2950439453125</v>
      </c>
      <c r="J903">
        <v>2.0198504109817863</v>
      </c>
    </row>
    <row r="904" spans="6:10" x14ac:dyDescent="0.25">
      <c r="F904" s="10">
        <v>45308</v>
      </c>
      <c r="H904">
        <v>181.35194396972656</v>
      </c>
      <c r="J904">
        <v>2.0094007529326317</v>
      </c>
    </row>
    <row r="905" spans="6:10" x14ac:dyDescent="0.25">
      <c r="F905" s="10">
        <v>45309</v>
      </c>
      <c r="H905">
        <v>187.25868225097656</v>
      </c>
      <c r="J905">
        <v>2.0748481040329927</v>
      </c>
    </row>
    <row r="906" spans="6:10" x14ac:dyDescent="0.25">
      <c r="F906" s="10">
        <v>45310</v>
      </c>
      <c r="H906">
        <v>190.1673583984375</v>
      </c>
      <c r="J906">
        <v>2.1070765759909271</v>
      </c>
    </row>
    <row r="907" spans="6:10" x14ac:dyDescent="0.25">
      <c r="F907" s="10">
        <v>45313</v>
      </c>
      <c r="H907">
        <v>192.48043823242188</v>
      </c>
      <c r="J907">
        <v>2.1327057711253192</v>
      </c>
    </row>
    <row r="908" spans="6:10" x14ac:dyDescent="0.25">
      <c r="F908" s="10">
        <v>45314</v>
      </c>
      <c r="H908">
        <v>193.76104736328125</v>
      </c>
      <c r="J908">
        <v>2.1468950700952316</v>
      </c>
    </row>
    <row r="909" spans="6:10" x14ac:dyDescent="0.25">
      <c r="F909" s="10">
        <v>45315</v>
      </c>
      <c r="H909">
        <v>193.08599853515625</v>
      </c>
      <c r="J909">
        <v>2.139415450115381</v>
      </c>
    </row>
    <row r="910" spans="6:10" x14ac:dyDescent="0.25">
      <c r="F910" s="10">
        <v>45316</v>
      </c>
      <c r="H910">
        <v>192.7584228515625</v>
      </c>
      <c r="J910">
        <v>2.1357858732228081</v>
      </c>
    </row>
    <row r="911" spans="6:10" x14ac:dyDescent="0.25">
      <c r="F911" s="10">
        <v>45317</v>
      </c>
      <c r="H911">
        <v>191.0211181640625</v>
      </c>
      <c r="J911">
        <v>2.1165363340630923</v>
      </c>
    </row>
    <row r="912" spans="6:10" x14ac:dyDescent="0.25">
      <c r="F912" s="10">
        <v>45320</v>
      </c>
      <c r="H912">
        <v>190.33612060546875</v>
      </c>
      <c r="J912">
        <v>2.1089464809858898</v>
      </c>
    </row>
    <row r="913" spans="6:10" x14ac:dyDescent="0.25">
      <c r="F913" s="10">
        <v>45321</v>
      </c>
      <c r="H913">
        <v>186.6729736328125</v>
      </c>
      <c r="J913">
        <v>2.0683583840301321</v>
      </c>
    </row>
    <row r="914" spans="6:10" x14ac:dyDescent="0.25">
      <c r="F914" s="10">
        <v>45322</v>
      </c>
      <c r="H914">
        <v>183.05943298339844</v>
      </c>
      <c r="J914">
        <v>2.0283199309386264</v>
      </c>
    </row>
    <row r="915" spans="6:10" x14ac:dyDescent="0.25">
      <c r="F915" s="10">
        <v>45323</v>
      </c>
      <c r="H915">
        <v>185.50155639648438</v>
      </c>
      <c r="J915">
        <v>2.0553789440244108</v>
      </c>
    </row>
    <row r="916" spans="6:10" x14ac:dyDescent="0.25">
      <c r="F916" s="10">
        <v>45324</v>
      </c>
      <c r="H916">
        <v>184.4989013671875</v>
      </c>
      <c r="J916">
        <v>2.0442694090136522</v>
      </c>
    </row>
    <row r="917" spans="6:10" x14ac:dyDescent="0.25">
      <c r="F917" s="10">
        <v>45327</v>
      </c>
      <c r="H917">
        <v>186.31558227539063</v>
      </c>
      <c r="J917">
        <v>2.064398445983838</v>
      </c>
    </row>
    <row r="918" spans="6:10" x14ac:dyDescent="0.25">
      <c r="F918" s="10">
        <v>45328</v>
      </c>
      <c r="H918">
        <v>187.92381286621094</v>
      </c>
      <c r="J918">
        <v>2.0822178290538265</v>
      </c>
    </row>
    <row r="919" spans="6:10" x14ac:dyDescent="0.25">
      <c r="F919" s="10">
        <v>45329</v>
      </c>
      <c r="H919">
        <v>188.03300476074219</v>
      </c>
      <c r="J919">
        <v>2.0834276880180171</v>
      </c>
    </row>
    <row r="920" spans="6:10" x14ac:dyDescent="0.25">
      <c r="F920" s="10">
        <v>45330</v>
      </c>
      <c r="H920">
        <v>186.95094299316406</v>
      </c>
      <c r="J920">
        <v>2.0714383170584534</v>
      </c>
    </row>
    <row r="921" spans="6:10" x14ac:dyDescent="0.25">
      <c r="F921" s="10">
        <v>45331</v>
      </c>
      <c r="H921">
        <v>187.71630859375</v>
      </c>
      <c r="J921">
        <v>2.0799186574420276</v>
      </c>
    </row>
    <row r="922" spans="6:10" x14ac:dyDescent="0.25">
      <c r="F922" s="10">
        <v>45334</v>
      </c>
      <c r="H922">
        <v>186.02651977539063</v>
      </c>
      <c r="J922">
        <v>2.0611955996705857</v>
      </c>
    </row>
    <row r="923" spans="6:10" x14ac:dyDescent="0.25">
      <c r="F923" s="10">
        <v>45335</v>
      </c>
      <c r="H923">
        <v>183.92918395996094</v>
      </c>
      <c r="J923">
        <v>2.03795687349856</v>
      </c>
    </row>
    <row r="924" spans="6:10" x14ac:dyDescent="0.25">
      <c r="F924" s="10">
        <v>45336</v>
      </c>
      <c r="H924">
        <v>183.04450988769531</v>
      </c>
      <c r="J924">
        <v>2.0281545812925978</v>
      </c>
    </row>
    <row r="925" spans="6:10" x14ac:dyDescent="0.25">
      <c r="F925" s="10">
        <v>45337</v>
      </c>
      <c r="H925">
        <v>182.75625610351563</v>
      </c>
      <c r="J925">
        <v>2.0249606956452348</v>
      </c>
    </row>
    <row r="926" spans="6:10" x14ac:dyDescent="0.25">
      <c r="F926" s="10">
        <v>45338</v>
      </c>
      <c r="H926">
        <v>181.21556091308594</v>
      </c>
      <c r="J926">
        <v>2.0078896127115669</v>
      </c>
    </row>
    <row r="927" spans="6:10" x14ac:dyDescent="0.25">
      <c r="F927" s="10">
        <v>45342</v>
      </c>
      <c r="H927">
        <v>180.47006225585938</v>
      </c>
      <c r="J927">
        <v>1.9996294003843618</v>
      </c>
    </row>
    <row r="928" spans="6:10" x14ac:dyDescent="0.25">
      <c r="F928" s="10">
        <v>45343</v>
      </c>
      <c r="H928">
        <v>181.22552490234375</v>
      </c>
      <c r="J928">
        <v>2.0080000148780868</v>
      </c>
    </row>
    <row r="929" spans="6:10" x14ac:dyDescent="0.25">
      <c r="F929" s="10">
        <v>45344</v>
      </c>
      <c r="H929">
        <v>183.26321411132813</v>
      </c>
      <c r="J929">
        <v>2.0305778496735019</v>
      </c>
    </row>
    <row r="930" spans="6:10" x14ac:dyDescent="0.25">
      <c r="F930" s="10">
        <v>45345</v>
      </c>
      <c r="H930">
        <v>181.42430114746094</v>
      </c>
      <c r="J930">
        <v>2.0102024789259509</v>
      </c>
    </row>
    <row r="931" spans="6:10" x14ac:dyDescent="0.25">
      <c r="F931" s="10">
        <v>45348</v>
      </c>
      <c r="H931">
        <v>180.07247924804688</v>
      </c>
      <c r="J931">
        <v>1.9952241341502981</v>
      </c>
    </row>
    <row r="932" spans="6:10" x14ac:dyDescent="0.25">
      <c r="F932" s="10">
        <v>45349</v>
      </c>
      <c r="H932">
        <v>181.53366088867188</v>
      </c>
      <c r="J932">
        <v>2.0114141976509869</v>
      </c>
    </row>
    <row r="933" spans="6:10" x14ac:dyDescent="0.25">
      <c r="F933" s="10">
        <v>45350</v>
      </c>
      <c r="H933">
        <v>180.33090209960938</v>
      </c>
      <c r="J933">
        <v>1.9980874895747724</v>
      </c>
    </row>
    <row r="934" spans="6:10" x14ac:dyDescent="0.25">
      <c r="F934" s="10">
        <v>45351</v>
      </c>
      <c r="H934">
        <v>179.6649169921875</v>
      </c>
      <c r="J934">
        <v>1.9907082966805467</v>
      </c>
    </row>
    <row r="935" spans="6:10" x14ac:dyDescent="0.25">
      <c r="F935" s="10">
        <v>45352</v>
      </c>
      <c r="H935">
        <v>178.58149719238281</v>
      </c>
      <c r="J935">
        <v>1.9787038785650559</v>
      </c>
    </row>
    <row r="936" spans="6:10" x14ac:dyDescent="0.25">
      <c r="F936" s="10">
        <v>45355</v>
      </c>
      <c r="H936">
        <v>174.04885864257813</v>
      </c>
      <c r="J936">
        <v>1.9284817132252159</v>
      </c>
    </row>
    <row r="937" spans="6:10" x14ac:dyDescent="0.25">
      <c r="F937" s="10">
        <v>45356</v>
      </c>
      <c r="H937">
        <v>169.0987548828125</v>
      </c>
      <c r="J937">
        <v>1.8736339845257755</v>
      </c>
    </row>
    <row r="938" spans="6:10" x14ac:dyDescent="0.25">
      <c r="F938" s="10">
        <v>45357</v>
      </c>
      <c r="H938">
        <v>168.104736328125</v>
      </c>
      <c r="J938">
        <v>1.862620142663945</v>
      </c>
    </row>
    <row r="939" spans="6:10" x14ac:dyDescent="0.25">
      <c r="F939" s="10">
        <v>45358</v>
      </c>
      <c r="H939">
        <v>167.98545837402344</v>
      </c>
      <c r="J939">
        <v>1.8612985289798925</v>
      </c>
    </row>
    <row r="940" spans="6:10" x14ac:dyDescent="0.25">
      <c r="F940" s="10">
        <v>45359</v>
      </c>
      <c r="H940">
        <v>169.70506286621094</v>
      </c>
      <c r="J940">
        <v>1.8803519479050554</v>
      </c>
    </row>
    <row r="941" spans="6:10" x14ac:dyDescent="0.25">
      <c r="F941" s="10">
        <v>45362</v>
      </c>
      <c r="H941">
        <v>171.71295166015625</v>
      </c>
      <c r="J941">
        <v>1.9025995906159172</v>
      </c>
    </row>
    <row r="942" spans="6:10" x14ac:dyDescent="0.25">
      <c r="F942" s="10">
        <v>45363</v>
      </c>
      <c r="H942">
        <v>172.1900634765625</v>
      </c>
      <c r="J942">
        <v>1.907886045352128</v>
      </c>
    </row>
    <row r="943" spans="6:10" x14ac:dyDescent="0.25">
      <c r="F943" s="10">
        <v>45364</v>
      </c>
      <c r="H943">
        <v>170.10269165039063</v>
      </c>
      <c r="J943">
        <v>1.8847577213466224</v>
      </c>
    </row>
    <row r="944" spans="6:10" x14ac:dyDescent="0.25">
      <c r="F944" s="10">
        <v>45365</v>
      </c>
      <c r="H944">
        <v>171.96145629882813</v>
      </c>
      <c r="J944">
        <v>1.9053530510813748</v>
      </c>
    </row>
    <row r="945" spans="6:10" x14ac:dyDescent="0.25">
      <c r="F945" s="10">
        <v>45366</v>
      </c>
      <c r="H945">
        <v>171.583740234375</v>
      </c>
      <c r="J945">
        <v>1.90116791290368</v>
      </c>
    </row>
    <row r="946" spans="6:10" x14ac:dyDescent="0.25">
      <c r="F946" s="10">
        <v>45369</v>
      </c>
      <c r="H946">
        <v>172.67713928222656</v>
      </c>
      <c r="J946">
        <v>1.9132829022548585</v>
      </c>
    </row>
    <row r="947" spans="6:10" x14ac:dyDescent="0.25">
      <c r="F947" s="10">
        <v>45370</v>
      </c>
      <c r="H947">
        <v>175.02297973632813</v>
      </c>
      <c r="J947">
        <v>1.9392750888923416</v>
      </c>
    </row>
    <row r="948" spans="6:10" x14ac:dyDescent="0.25">
      <c r="F948" s="10">
        <v>45371</v>
      </c>
      <c r="H948">
        <v>177.59744262695313</v>
      </c>
      <c r="J948">
        <v>1.9678004388697456</v>
      </c>
    </row>
    <row r="949" spans="6:10" x14ac:dyDescent="0.25">
      <c r="F949" s="10">
        <v>45372</v>
      </c>
      <c r="H949">
        <v>170.34124755859375</v>
      </c>
      <c r="J949">
        <v>1.8874009487147276</v>
      </c>
    </row>
    <row r="950" spans="6:10" x14ac:dyDescent="0.25">
      <c r="F950" s="10">
        <v>45373</v>
      </c>
      <c r="H950">
        <v>171.24578857421875</v>
      </c>
      <c r="J950">
        <v>1.8974233689770588</v>
      </c>
    </row>
    <row r="951" spans="6:10" x14ac:dyDescent="0.25">
      <c r="F951" s="10">
        <v>45376</v>
      </c>
      <c r="H951">
        <v>169.82437133789063</v>
      </c>
      <c r="J951">
        <v>1.8816738997274436</v>
      </c>
    </row>
    <row r="952" spans="6:10" x14ac:dyDescent="0.25">
      <c r="F952" s="10">
        <v>45377</v>
      </c>
      <c r="H952">
        <v>168.69123840332031</v>
      </c>
      <c r="J952">
        <v>1.8691186542635272</v>
      </c>
    </row>
    <row r="953" spans="6:10" x14ac:dyDescent="0.25">
      <c r="F953" s="10">
        <v>45378</v>
      </c>
      <c r="H953">
        <v>172.26957702636719</v>
      </c>
      <c r="J953">
        <v>1.9087670647851072</v>
      </c>
    </row>
    <row r="954" spans="6:10" x14ac:dyDescent="0.25">
      <c r="F954" s="10">
        <v>45379</v>
      </c>
      <c r="H954">
        <v>170.45059204101563</v>
      </c>
      <c r="J954">
        <v>1.8886124983705959</v>
      </c>
    </row>
    <row r="955" spans="6:10" x14ac:dyDescent="0.25">
      <c r="F955" s="10">
        <v>45383</v>
      </c>
      <c r="H955">
        <v>169.00929260253906</v>
      </c>
      <c r="J955">
        <v>1.872642731995444</v>
      </c>
    </row>
    <row r="956" spans="6:10" x14ac:dyDescent="0.25">
      <c r="F956" s="10">
        <v>45384</v>
      </c>
      <c r="H956">
        <v>167.826416015625</v>
      </c>
      <c r="J956">
        <v>1.8595363210447664</v>
      </c>
    </row>
    <row r="957" spans="6:10" x14ac:dyDescent="0.25">
      <c r="F957" s="10">
        <v>45385</v>
      </c>
      <c r="H957">
        <v>168.63156127929688</v>
      </c>
      <c r="J957">
        <v>1.8684574247485815</v>
      </c>
    </row>
    <row r="958" spans="6:10" x14ac:dyDescent="0.25">
      <c r="F958" s="10">
        <v>45386</v>
      </c>
      <c r="H958">
        <v>167.80656433105469</v>
      </c>
      <c r="J958">
        <v>1.859316362057565</v>
      </c>
    </row>
    <row r="959" spans="6:10" x14ac:dyDescent="0.25">
      <c r="F959" s="10">
        <v>45387</v>
      </c>
      <c r="H959">
        <v>168.56198120117188</v>
      </c>
      <c r="J959">
        <v>1.8676864693437867</v>
      </c>
    </row>
    <row r="960" spans="6:10" x14ac:dyDescent="0.25">
      <c r="F960" s="10">
        <v>45390</v>
      </c>
      <c r="H960">
        <v>167.43878173828125</v>
      </c>
      <c r="J960">
        <v>1.8552412879080549</v>
      </c>
    </row>
    <row r="961" spans="6:10" x14ac:dyDescent="0.25">
      <c r="F961" s="10">
        <v>45391</v>
      </c>
      <c r="H961">
        <v>168.65144348144531</v>
      </c>
      <c r="J961">
        <v>1.8686777218741182</v>
      </c>
    </row>
    <row r="962" spans="6:10" x14ac:dyDescent="0.25">
      <c r="F962" s="10">
        <v>45392</v>
      </c>
      <c r="H962">
        <v>166.77279663085938</v>
      </c>
      <c r="J962">
        <v>1.8478620950138289</v>
      </c>
    </row>
    <row r="963" spans="6:10" x14ac:dyDescent="0.25">
      <c r="F963" s="10">
        <v>45393</v>
      </c>
      <c r="H963">
        <v>173.98919677734375</v>
      </c>
      <c r="J963">
        <v>1.9278206527794379</v>
      </c>
    </row>
    <row r="964" spans="6:10" x14ac:dyDescent="0.25">
      <c r="F964" s="10">
        <v>45394</v>
      </c>
      <c r="H964">
        <v>175.49015808105469</v>
      </c>
      <c r="J964">
        <v>1.9444514796003678</v>
      </c>
    </row>
    <row r="965" spans="6:10" x14ac:dyDescent="0.25">
      <c r="F965" s="10">
        <v>45397</v>
      </c>
      <c r="H965">
        <v>171.6533203125</v>
      </c>
      <c r="J965">
        <v>1.9019388683084748</v>
      </c>
    </row>
    <row r="966" spans="6:10" x14ac:dyDescent="0.25">
      <c r="F966" s="10">
        <v>45398</v>
      </c>
      <c r="H966">
        <v>168.36318969726563</v>
      </c>
      <c r="J966">
        <v>1.865483836226755</v>
      </c>
    </row>
    <row r="967" spans="6:10" x14ac:dyDescent="0.25">
      <c r="F967" s="10">
        <v>45399</v>
      </c>
      <c r="H967">
        <v>166.99147033691406</v>
      </c>
      <c r="J967">
        <v>1.8502850252563976</v>
      </c>
    </row>
    <row r="968" spans="6:10" x14ac:dyDescent="0.25">
      <c r="F968" s="10">
        <v>45400</v>
      </c>
      <c r="H968">
        <v>166.0372314453125</v>
      </c>
      <c r="J968">
        <v>1.8397119467148086</v>
      </c>
    </row>
    <row r="969" spans="6:10" x14ac:dyDescent="0.25">
      <c r="F969" s="10">
        <v>45401</v>
      </c>
      <c r="H969">
        <v>164.00947570800781</v>
      </c>
      <c r="J969">
        <v>1.8172441759475777</v>
      </c>
    </row>
    <row r="970" spans="6:10" x14ac:dyDescent="0.25">
      <c r="F970" s="10">
        <v>45404</v>
      </c>
      <c r="H970">
        <v>164.84442138671875</v>
      </c>
      <c r="J970">
        <v>1.8264954717359465</v>
      </c>
    </row>
    <row r="971" spans="6:10" x14ac:dyDescent="0.25">
      <c r="F971" s="10">
        <v>45405</v>
      </c>
      <c r="H971">
        <v>165.89805603027344</v>
      </c>
      <c r="J971">
        <v>1.8381698668360513</v>
      </c>
    </row>
    <row r="972" spans="6:10" x14ac:dyDescent="0.25">
      <c r="F972" s="10">
        <v>45406</v>
      </c>
      <c r="H972">
        <v>168.00535583496094</v>
      </c>
      <c r="J972">
        <v>1.861518995174597</v>
      </c>
    </row>
    <row r="973" spans="6:10" x14ac:dyDescent="0.25">
      <c r="F973" s="10">
        <v>45407</v>
      </c>
      <c r="H973">
        <v>168.87013244628906</v>
      </c>
      <c r="J973">
        <v>1.8711008211858546</v>
      </c>
    </row>
    <row r="974" spans="6:10" x14ac:dyDescent="0.25">
      <c r="F974" s="10">
        <v>45408</v>
      </c>
      <c r="H974">
        <v>168.28367614746094</v>
      </c>
      <c r="J974">
        <v>1.8646028167937756</v>
      </c>
    </row>
    <row r="975" spans="6:10" x14ac:dyDescent="0.25">
      <c r="F975" s="10">
        <v>45411</v>
      </c>
      <c r="H975">
        <v>172.45845031738281</v>
      </c>
      <c r="J975">
        <v>1.9108598029431223</v>
      </c>
    </row>
    <row r="976" spans="6:10" x14ac:dyDescent="0.25">
      <c r="F976" s="10">
        <v>45412</v>
      </c>
      <c r="H976">
        <v>169.3074951171875</v>
      </c>
      <c r="J976">
        <v>1.8759468507401595</v>
      </c>
    </row>
    <row r="977" spans="6:10" x14ac:dyDescent="0.25">
      <c r="F977" s="10">
        <v>45413</v>
      </c>
      <c r="H977">
        <v>168.28367614746094</v>
      </c>
      <c r="J977">
        <v>1.8646028167937756</v>
      </c>
    </row>
    <row r="978" spans="6:10" x14ac:dyDescent="0.25">
      <c r="F978" s="10">
        <v>45414</v>
      </c>
      <c r="H978">
        <v>171.99125671386719</v>
      </c>
      <c r="J978">
        <v>1.9056832431659283</v>
      </c>
    </row>
    <row r="979" spans="6:10" x14ac:dyDescent="0.25">
      <c r="F979" s="10">
        <v>45415</v>
      </c>
      <c r="H979">
        <v>182.27914428710938</v>
      </c>
      <c r="J979">
        <v>2.019674240909024</v>
      </c>
    </row>
    <row r="980" spans="6:10" x14ac:dyDescent="0.25">
      <c r="F980" s="10">
        <v>45418</v>
      </c>
      <c r="H980">
        <v>180.61918640136719</v>
      </c>
      <c r="J980">
        <v>2.0012817133604712</v>
      </c>
    </row>
    <row r="981" spans="6:10" x14ac:dyDescent="0.25">
      <c r="F981" s="10">
        <v>45419</v>
      </c>
      <c r="H981">
        <v>181.30500793457031</v>
      </c>
      <c r="J981">
        <v>2.0088806961727306</v>
      </c>
    </row>
    <row r="982" spans="6:10" x14ac:dyDescent="0.25">
      <c r="F982" s="10">
        <v>45420</v>
      </c>
      <c r="H982">
        <v>181.64300537109375</v>
      </c>
      <c r="J982">
        <v>2.012625747306855</v>
      </c>
    </row>
    <row r="983" spans="6:10" x14ac:dyDescent="0.25">
      <c r="F983" s="10">
        <v>45421</v>
      </c>
      <c r="H983">
        <v>183.46200561523438</v>
      </c>
      <c r="J983">
        <v>2.032780482790534</v>
      </c>
    </row>
    <row r="984" spans="6:10" x14ac:dyDescent="0.25">
      <c r="F984" s="10">
        <v>45422</v>
      </c>
      <c r="H984">
        <v>182.19792175292969</v>
      </c>
      <c r="J984">
        <v>2.0187742857292603</v>
      </c>
    </row>
    <row r="985" spans="6:10" x14ac:dyDescent="0.25">
      <c r="F985" s="10">
        <v>45425</v>
      </c>
      <c r="H985">
        <v>185.41288757324219</v>
      </c>
      <c r="J985">
        <v>2.0543964830908008</v>
      </c>
    </row>
    <row r="986" spans="6:10" x14ac:dyDescent="0.25">
      <c r="F986" s="10">
        <v>45426</v>
      </c>
      <c r="H986">
        <v>186.55752563476563</v>
      </c>
      <c r="J986">
        <v>2.0670792067071768</v>
      </c>
    </row>
    <row r="987" spans="6:10" x14ac:dyDescent="0.25">
      <c r="F987" s="10">
        <v>45427</v>
      </c>
      <c r="H987">
        <v>188.83686828613281</v>
      </c>
      <c r="J987">
        <v>2.092334589911744</v>
      </c>
    </row>
    <row r="988" spans="6:10" x14ac:dyDescent="0.25">
      <c r="F988" s="10">
        <v>45428</v>
      </c>
      <c r="H988">
        <v>188.95631408691406</v>
      </c>
      <c r="J988">
        <v>2.0936580633566417</v>
      </c>
    </row>
    <row r="989" spans="6:10" x14ac:dyDescent="0.25">
      <c r="F989" s="10">
        <v>45429</v>
      </c>
      <c r="H989">
        <v>188.98617553710938</v>
      </c>
      <c r="J989">
        <v>2.0939889317178664</v>
      </c>
    </row>
    <row r="990" spans="6:10" x14ac:dyDescent="0.25">
      <c r="F990" s="10">
        <v>45432</v>
      </c>
      <c r="H990">
        <v>190.15072631835938</v>
      </c>
      <c r="J990">
        <v>2.1068922905981142</v>
      </c>
    </row>
    <row r="991" spans="6:10" x14ac:dyDescent="0.25">
      <c r="F991" s="10">
        <v>45433</v>
      </c>
      <c r="H991">
        <v>191.45463562011719</v>
      </c>
      <c r="J991">
        <v>2.1213397581871321</v>
      </c>
    </row>
    <row r="992" spans="6:10" x14ac:dyDescent="0.25">
      <c r="F992" s="10">
        <v>45434</v>
      </c>
      <c r="H992">
        <v>190.01138305664063</v>
      </c>
      <c r="J992">
        <v>2.1053483509585122</v>
      </c>
    </row>
    <row r="993" spans="6:10" x14ac:dyDescent="0.25">
      <c r="F993" s="10">
        <v>45435</v>
      </c>
      <c r="H993">
        <v>186.01008605957031</v>
      </c>
      <c r="J993">
        <v>2.0610135121769533</v>
      </c>
    </row>
    <row r="994" spans="6:10" x14ac:dyDescent="0.25">
      <c r="F994" s="10">
        <v>45436</v>
      </c>
      <c r="H994">
        <v>189.09565734863281</v>
      </c>
      <c r="J994">
        <v>2.0952020029962437</v>
      </c>
    </row>
    <row r="995" spans="6:10" x14ac:dyDescent="0.25">
      <c r="F995" s="10">
        <v>45440</v>
      </c>
      <c r="H995">
        <v>189.10562133789063</v>
      </c>
      <c r="J995">
        <v>2.0953124051627636</v>
      </c>
    </row>
    <row r="996" spans="6:10" x14ac:dyDescent="0.25">
      <c r="F996" s="10">
        <v>45441</v>
      </c>
      <c r="H996">
        <v>189.40420532226563</v>
      </c>
      <c r="J996">
        <v>2.0986207506366723</v>
      </c>
    </row>
    <row r="997" spans="6:10" x14ac:dyDescent="0.25">
      <c r="F997" s="10">
        <v>45442</v>
      </c>
      <c r="H997">
        <v>190.39956665039063</v>
      </c>
      <c r="J997">
        <v>2.1096494705852615</v>
      </c>
    </row>
    <row r="998" spans="6:10" x14ac:dyDescent="0.25">
      <c r="F998" s="10">
        <v>45443</v>
      </c>
      <c r="H998">
        <v>191.3551025390625</v>
      </c>
      <c r="J998">
        <v>2.1202369200061066</v>
      </c>
    </row>
    <row r="999" spans="6:10" x14ac:dyDescent="0.25">
      <c r="F999" s="10">
        <v>45446</v>
      </c>
      <c r="H999">
        <v>193.12680053710938</v>
      </c>
      <c r="J999">
        <v>2.1398675410698598</v>
      </c>
    </row>
    <row r="1000" spans="6:10" x14ac:dyDescent="0.25">
      <c r="F1000" s="10">
        <v>45447</v>
      </c>
      <c r="H1000">
        <v>193.44532775878906</v>
      </c>
      <c r="J1000">
        <v>2.1433968599459758</v>
      </c>
    </row>
    <row r="1001" spans="6:10" x14ac:dyDescent="0.25">
      <c r="F1001" s="10">
        <v>45448</v>
      </c>
      <c r="H1001">
        <v>194.95823669433594</v>
      </c>
      <c r="J1001">
        <v>2.1601600679252289</v>
      </c>
    </row>
    <row r="1002" spans="6:10" x14ac:dyDescent="0.25">
      <c r="F1002" s="10">
        <v>45449</v>
      </c>
      <c r="H1002">
        <v>193.57469177246094</v>
      </c>
      <c r="J1002">
        <v>2.1448302283498899</v>
      </c>
    </row>
    <row r="1003" spans="6:10" x14ac:dyDescent="0.25">
      <c r="F1003" s="10">
        <v>45450</v>
      </c>
      <c r="H1003">
        <v>195.97349548339844</v>
      </c>
      <c r="J1003">
        <v>2.1714092540685228</v>
      </c>
    </row>
    <row r="1004" spans="6:10" x14ac:dyDescent="0.25">
      <c r="F1004" s="10">
        <v>45453</v>
      </c>
      <c r="H1004">
        <v>192.22102355957031</v>
      </c>
      <c r="J1004">
        <v>2.1298314262049431</v>
      </c>
    </row>
    <row r="1005" spans="6:10" x14ac:dyDescent="0.25">
      <c r="F1005" s="10">
        <v>45454</v>
      </c>
      <c r="H1005">
        <v>206.18571472167969</v>
      </c>
      <c r="J1005">
        <v>2.2845618378089041</v>
      </c>
    </row>
    <row r="1006" spans="6:10" x14ac:dyDescent="0.25">
      <c r="F1006" s="10">
        <v>45455</v>
      </c>
      <c r="H1006">
        <v>212.07820129394531</v>
      </c>
      <c r="J1006">
        <v>2.3498512783066166</v>
      </c>
    </row>
    <row r="1007" spans="6:10" x14ac:dyDescent="0.25">
      <c r="F1007" s="10">
        <v>45456</v>
      </c>
      <c r="H1007">
        <v>213.24273681640625</v>
      </c>
      <c r="J1007">
        <v>2.3627544681176973</v>
      </c>
    </row>
    <row r="1008" spans="6:10" x14ac:dyDescent="0.25">
      <c r="F1008" s="10">
        <v>45457</v>
      </c>
      <c r="H1008">
        <v>211.50086975097656</v>
      </c>
      <c r="J1008">
        <v>2.3434543772768333</v>
      </c>
    </row>
    <row r="1009" spans="6:10" x14ac:dyDescent="0.25">
      <c r="F1009" s="10">
        <v>45460</v>
      </c>
      <c r="H1009">
        <v>215.66140747070313</v>
      </c>
      <c r="J1009">
        <v>2.3895536218926989</v>
      </c>
    </row>
    <row r="1010" spans="6:10" x14ac:dyDescent="0.25">
      <c r="F1010" s="10">
        <v>45461</v>
      </c>
      <c r="H1010">
        <v>213.29248046875</v>
      </c>
      <c r="J1010">
        <v>2.3633056336044582</v>
      </c>
    </row>
    <row r="1011" spans="6:10" x14ac:dyDescent="0.25">
      <c r="F1011" s="10">
        <v>45463</v>
      </c>
      <c r="H1011">
        <v>208.70394897460938</v>
      </c>
      <c r="J1011">
        <v>2.3124641679032667</v>
      </c>
    </row>
    <row r="1012" spans="6:10" x14ac:dyDescent="0.25">
      <c r="F1012" s="10">
        <v>45464</v>
      </c>
      <c r="H1012">
        <v>206.524169921875</v>
      </c>
      <c r="J1012">
        <v>2.28831196101806</v>
      </c>
    </row>
    <row r="1013" spans="6:10" x14ac:dyDescent="0.25">
      <c r="F1013" s="10">
        <v>45467</v>
      </c>
      <c r="H1013">
        <v>207.17111206054688</v>
      </c>
      <c r="J1013">
        <v>2.2954801555909738</v>
      </c>
    </row>
    <row r="1014" spans="6:10" x14ac:dyDescent="0.25">
      <c r="F1014" s="10">
        <v>45468</v>
      </c>
      <c r="H1014">
        <v>208.0968017578125</v>
      </c>
      <c r="J1014">
        <v>2.3057369057197623</v>
      </c>
    </row>
    <row r="1015" spans="6:10" x14ac:dyDescent="0.25">
      <c r="F1015" s="10">
        <v>45469</v>
      </c>
      <c r="H1015">
        <v>212.25733947753906</v>
      </c>
      <c r="J1015">
        <v>2.3518361503356275</v>
      </c>
    </row>
    <row r="1016" spans="6:10" x14ac:dyDescent="0.25">
      <c r="F1016" s="10">
        <v>45470</v>
      </c>
      <c r="H1016">
        <v>213.1033935546875</v>
      </c>
      <c r="J1016">
        <v>2.3612105284780953</v>
      </c>
    </row>
    <row r="1017" spans="6:10" x14ac:dyDescent="0.25">
      <c r="F1017" s="10">
        <v>45471</v>
      </c>
      <c r="H1017">
        <v>209.63957214355469</v>
      </c>
      <c r="J1017">
        <v>2.3228309820602395</v>
      </c>
    </row>
    <row r="1018" spans="6:10" x14ac:dyDescent="0.25">
      <c r="F1018" s="10">
        <v>45474</v>
      </c>
      <c r="H1018">
        <v>215.74104309082031</v>
      </c>
      <c r="J1018">
        <v>2.3904359938790201</v>
      </c>
    </row>
    <row r="1019" spans="6:10" x14ac:dyDescent="0.25">
      <c r="F1019" s="10">
        <v>45475</v>
      </c>
      <c r="H1019">
        <v>219.24464416503906</v>
      </c>
      <c r="J1019">
        <v>2.4292563036171164</v>
      </c>
    </row>
    <row r="1020" spans="6:10" x14ac:dyDescent="0.25">
      <c r="F1020" s="10">
        <v>45476</v>
      </c>
      <c r="H1020">
        <v>220.51870727539063</v>
      </c>
      <c r="J1020">
        <v>2.4433730719140776</v>
      </c>
    </row>
    <row r="1021" spans="6:10" x14ac:dyDescent="0.25">
      <c r="F1021" s="10">
        <v>45478</v>
      </c>
      <c r="H1021">
        <v>225.28639221191406</v>
      </c>
      <c r="J1021">
        <v>2.4961995787134477</v>
      </c>
    </row>
    <row r="1022" spans="6:10" x14ac:dyDescent="0.25">
      <c r="F1022" s="10">
        <v>45481</v>
      </c>
      <c r="H1022">
        <v>226.759521484375</v>
      </c>
      <c r="J1022">
        <v>2.5125220233724597</v>
      </c>
    </row>
    <row r="1023" spans="6:10" x14ac:dyDescent="0.25">
      <c r="F1023" s="10">
        <v>45482</v>
      </c>
      <c r="H1023">
        <v>227.61550903320313</v>
      </c>
      <c r="J1023">
        <v>2.5220064655431118</v>
      </c>
    </row>
    <row r="1024" spans="6:10" x14ac:dyDescent="0.25">
      <c r="F1024" s="10">
        <v>45483</v>
      </c>
      <c r="H1024">
        <v>231.89549255371094</v>
      </c>
      <c r="J1024">
        <v>2.5694291836038752</v>
      </c>
    </row>
    <row r="1025" spans="6:10" x14ac:dyDescent="0.25">
      <c r="F1025" s="10">
        <v>45484</v>
      </c>
      <c r="H1025">
        <v>226.51069641113281</v>
      </c>
      <c r="J1025">
        <v>2.5097650124544804</v>
      </c>
    </row>
    <row r="1026" spans="6:10" x14ac:dyDescent="0.25">
      <c r="F1026" s="10">
        <v>45485</v>
      </c>
      <c r="H1026">
        <v>229.46685791015625</v>
      </c>
      <c r="J1026">
        <v>2.5425196276623532</v>
      </c>
    </row>
    <row r="1027" spans="6:10" x14ac:dyDescent="0.25">
      <c r="F1027" s="10">
        <v>45488</v>
      </c>
      <c r="H1027">
        <v>233.30888366699219</v>
      </c>
      <c r="J1027">
        <v>2.5850897224712703</v>
      </c>
    </row>
    <row r="1028" spans="6:10" x14ac:dyDescent="0.25">
      <c r="F1028" s="10">
        <v>45489</v>
      </c>
      <c r="H1028">
        <v>233.72694396972656</v>
      </c>
      <c r="J1028">
        <v>2.5897218795284118</v>
      </c>
    </row>
    <row r="1029" spans="6:10" x14ac:dyDescent="0.25">
      <c r="F1029" s="10">
        <v>45490</v>
      </c>
      <c r="H1029">
        <v>227.81459045410156</v>
      </c>
      <c r="J1029">
        <v>2.5242123109743302</v>
      </c>
    </row>
    <row r="1030" spans="6:10" x14ac:dyDescent="0.25">
      <c r="F1030" s="10">
        <v>45491</v>
      </c>
      <c r="H1030">
        <v>223.13645935058594</v>
      </c>
      <c r="J1030">
        <v>2.4723780711202981</v>
      </c>
    </row>
    <row r="1031" spans="6:10" x14ac:dyDescent="0.25">
      <c r="F1031" s="10">
        <v>45492</v>
      </c>
      <c r="H1031">
        <v>223.26583862304688</v>
      </c>
      <c r="J1031">
        <v>2.4738116085933801</v>
      </c>
    </row>
    <row r="1032" spans="6:10" x14ac:dyDescent="0.25">
      <c r="F1032" s="10">
        <v>45495</v>
      </c>
      <c r="H1032">
        <v>222.91749572753906</v>
      </c>
      <c r="J1032">
        <v>2.4699519285635425</v>
      </c>
    </row>
    <row r="1033" spans="6:10" x14ac:dyDescent="0.25">
      <c r="F1033" s="10">
        <v>45496</v>
      </c>
      <c r="H1033">
        <v>223.96258544921875</v>
      </c>
      <c r="J1033">
        <v>2.4815316449297256</v>
      </c>
    </row>
    <row r="1034" spans="6:10" x14ac:dyDescent="0.25">
      <c r="F1034" s="10">
        <v>45497</v>
      </c>
      <c r="H1034">
        <v>217.522705078125</v>
      </c>
      <c r="J1034">
        <v>2.4101770171092927</v>
      </c>
    </row>
    <row r="1035" spans="6:10" x14ac:dyDescent="0.25">
      <c r="F1035" s="10">
        <v>45498</v>
      </c>
      <c r="H1035">
        <v>216.47761535644531</v>
      </c>
      <c r="J1035">
        <v>2.3985973007431096</v>
      </c>
    </row>
    <row r="1036" spans="6:10" x14ac:dyDescent="0.25">
      <c r="F1036" s="10">
        <v>45499</v>
      </c>
      <c r="H1036">
        <v>216.94541931152344</v>
      </c>
      <c r="J1036">
        <v>2.4037806232870125</v>
      </c>
    </row>
    <row r="1037" spans="6:10" x14ac:dyDescent="0.25">
      <c r="F1037" s="10">
        <v>45502</v>
      </c>
      <c r="H1037">
        <v>217.22412109375</v>
      </c>
      <c r="J1037">
        <v>2.406868671635384</v>
      </c>
    </row>
    <row r="1038" spans="6:10" x14ac:dyDescent="0.25">
      <c r="F1038" s="10">
        <v>45503</v>
      </c>
      <c r="H1038">
        <v>217.78152465820313</v>
      </c>
      <c r="J1038">
        <v>2.4130447683321274</v>
      </c>
    </row>
    <row r="1039" spans="6:10" x14ac:dyDescent="0.25">
      <c r="F1039" s="10">
        <v>45504</v>
      </c>
      <c r="H1039">
        <v>221.04621887207031</v>
      </c>
      <c r="J1039">
        <v>2.4492179621112613</v>
      </c>
    </row>
    <row r="1040" spans="6:10" x14ac:dyDescent="0.25">
      <c r="F1040" s="10">
        <v>45505</v>
      </c>
      <c r="H1040">
        <v>217.34355163574219</v>
      </c>
      <c r="J1040">
        <v>2.4081919760111141</v>
      </c>
    </row>
    <row r="1041" spans="6:10" x14ac:dyDescent="0.25">
      <c r="F1041" s="10">
        <v>45506</v>
      </c>
      <c r="H1041">
        <v>218.83657836914063</v>
      </c>
      <c r="J1041">
        <v>2.4247348868648304</v>
      </c>
    </row>
    <row r="1042" spans="6:10" x14ac:dyDescent="0.25">
      <c r="F1042" s="10">
        <v>45509</v>
      </c>
      <c r="H1042">
        <v>208.29588317871094</v>
      </c>
      <c r="J1042">
        <v>2.3079427511509807</v>
      </c>
    </row>
    <row r="1043" spans="6:10" x14ac:dyDescent="0.25">
      <c r="F1043" s="10">
        <v>45510</v>
      </c>
      <c r="H1043">
        <v>206.26533508300781</v>
      </c>
      <c r="J1043">
        <v>2.2854440407260572</v>
      </c>
    </row>
    <row r="1044" spans="6:10" x14ac:dyDescent="0.25">
      <c r="F1044" s="10">
        <v>45511</v>
      </c>
      <c r="H1044">
        <v>208.84330749511719</v>
      </c>
      <c r="J1044">
        <v>2.3140082766120367</v>
      </c>
    </row>
    <row r="1045" spans="6:10" x14ac:dyDescent="0.25">
      <c r="F1045" s="10">
        <v>45512</v>
      </c>
      <c r="H1045">
        <v>212.31706237792969</v>
      </c>
      <c r="J1045">
        <v>2.3524978870580764</v>
      </c>
    </row>
    <row r="1046" spans="6:10" x14ac:dyDescent="0.25">
      <c r="F1046" s="10">
        <v>45513</v>
      </c>
      <c r="H1046">
        <v>215.23342895507813</v>
      </c>
      <c r="J1046">
        <v>2.3848115698765406</v>
      </c>
    </row>
    <row r="1047" spans="6:10" x14ac:dyDescent="0.25">
      <c r="F1047" s="10">
        <v>45516</v>
      </c>
      <c r="H1047">
        <v>216.76803588867188</v>
      </c>
      <c r="J1047">
        <v>2.401815194212289</v>
      </c>
    </row>
    <row r="1048" spans="6:10" x14ac:dyDescent="0.25">
      <c r="F1048" s="10">
        <v>45517</v>
      </c>
      <c r="H1048">
        <v>220.49493408203125</v>
      </c>
      <c r="J1048">
        <v>2.4431096621507726</v>
      </c>
    </row>
    <row r="1049" spans="6:10" x14ac:dyDescent="0.25">
      <c r="F1049" s="10">
        <v>45518</v>
      </c>
      <c r="H1049">
        <v>220.943359375</v>
      </c>
      <c r="J1049">
        <v>2.4480782668516734</v>
      </c>
    </row>
    <row r="1050" spans="6:10" x14ac:dyDescent="0.25">
      <c r="F1050" s="10">
        <v>45519</v>
      </c>
      <c r="H1050">
        <v>223.93284606933594</v>
      </c>
      <c r="J1050">
        <v>2.4812021291218431</v>
      </c>
    </row>
    <row r="1051" spans="6:10" x14ac:dyDescent="0.25">
      <c r="F1051" s="10">
        <v>45520</v>
      </c>
      <c r="H1051">
        <v>225.25819396972656</v>
      </c>
      <c r="J1051">
        <v>2.4958871388915047</v>
      </c>
    </row>
    <row r="1052" spans="6:10" x14ac:dyDescent="0.25">
      <c r="F1052" s="10">
        <v>45523</v>
      </c>
      <c r="H1052">
        <v>225.09873962402344</v>
      </c>
      <c r="J1052">
        <v>2.4941203660888505</v>
      </c>
    </row>
    <row r="1053" spans="6:10" x14ac:dyDescent="0.25">
      <c r="F1053" s="10">
        <v>45524</v>
      </c>
      <c r="H1053">
        <v>225.71656799316406</v>
      </c>
      <c r="J1053">
        <v>2.5009659766897574</v>
      </c>
    </row>
    <row r="1054" spans="6:10" x14ac:dyDescent="0.25">
      <c r="F1054" s="10">
        <v>45525</v>
      </c>
      <c r="H1054">
        <v>225.60696411132813</v>
      </c>
      <c r="J1054">
        <v>2.4997515528580383</v>
      </c>
    </row>
    <row r="1055" spans="6:10" x14ac:dyDescent="0.25">
      <c r="F1055" s="10">
        <v>45526</v>
      </c>
      <c r="H1055">
        <v>223.74351501464844</v>
      </c>
      <c r="J1055">
        <v>2.4791043188887962</v>
      </c>
    </row>
    <row r="1056" spans="6:10" x14ac:dyDescent="0.25">
      <c r="F1056" s="10">
        <v>45527</v>
      </c>
      <c r="H1056">
        <v>226.04542541503906</v>
      </c>
      <c r="J1056">
        <v>2.5046097553924187</v>
      </c>
    </row>
    <row r="1057" spans="6:10" x14ac:dyDescent="0.25">
      <c r="F1057" s="10">
        <v>45530</v>
      </c>
      <c r="H1057">
        <v>226.38423156738281</v>
      </c>
      <c r="J1057">
        <v>2.5083637671924324</v>
      </c>
    </row>
    <row r="1058" spans="6:10" x14ac:dyDescent="0.25">
      <c r="F1058" s="10">
        <v>45531</v>
      </c>
      <c r="H1058">
        <v>227.23126220703125</v>
      </c>
      <c r="J1058">
        <v>2.5177489657616339</v>
      </c>
    </row>
    <row r="1059" spans="6:10" x14ac:dyDescent="0.25">
      <c r="F1059" s="10">
        <v>45532</v>
      </c>
      <c r="H1059">
        <v>225.6966552734375</v>
      </c>
      <c r="J1059">
        <v>2.5007453414258856</v>
      </c>
    </row>
    <row r="1060" spans="6:10" x14ac:dyDescent="0.25">
      <c r="F1060" s="10">
        <v>45533</v>
      </c>
      <c r="H1060">
        <v>228.98507690429688</v>
      </c>
      <c r="J1060">
        <v>2.5371814377608208</v>
      </c>
    </row>
    <row r="1061" spans="6:10" x14ac:dyDescent="0.25">
      <c r="F1061" s="10">
        <v>45534</v>
      </c>
      <c r="H1061">
        <v>228.19784545898438</v>
      </c>
      <c r="J1061">
        <v>2.5284588212599068</v>
      </c>
    </row>
    <row r="1062" spans="6:10" x14ac:dyDescent="0.25">
      <c r="F1062" s="10">
        <v>45538</v>
      </c>
      <c r="H1062">
        <v>221.98966979980469</v>
      </c>
      <c r="J1062">
        <v>2.4596715087512737</v>
      </c>
    </row>
    <row r="1063" spans="6:10" x14ac:dyDescent="0.25">
      <c r="F1063" s="10">
        <v>45539</v>
      </c>
      <c r="H1063">
        <v>220.07640075683594</v>
      </c>
      <c r="J1063">
        <v>2.4384722639494321</v>
      </c>
    </row>
    <row r="1064" spans="6:10" x14ac:dyDescent="0.25">
      <c r="F1064" s="10">
        <v>45540</v>
      </c>
      <c r="H1064">
        <v>221.60104370117188</v>
      </c>
      <c r="J1064">
        <v>2.4553654861186605</v>
      </c>
    </row>
    <row r="1065" spans="6:10" x14ac:dyDescent="0.25">
      <c r="F1065" s="10">
        <v>45541</v>
      </c>
      <c r="H1065">
        <v>220.0465087890625</v>
      </c>
      <c r="J1065">
        <v>2.4381410574498723</v>
      </c>
    </row>
    <row r="1066" spans="6:10" x14ac:dyDescent="0.25">
      <c r="F1066" s="10">
        <v>45544</v>
      </c>
      <c r="H1066">
        <v>220.13619995117188</v>
      </c>
      <c r="J1066">
        <v>2.4391348460177196</v>
      </c>
    </row>
    <row r="1067" spans="6:10" x14ac:dyDescent="0.25">
      <c r="F1067" s="10">
        <v>45545</v>
      </c>
      <c r="H1067">
        <v>219.3389892578125</v>
      </c>
      <c r="J1067">
        <v>2.4303016582811177</v>
      </c>
    </row>
    <row r="1068" spans="6:10" x14ac:dyDescent="0.25">
      <c r="F1068" s="10">
        <v>45546</v>
      </c>
      <c r="H1068">
        <v>221.88006591796875</v>
      </c>
      <c r="J1068">
        <v>2.4584570849195542</v>
      </c>
    </row>
    <row r="1069" spans="6:10" x14ac:dyDescent="0.25">
      <c r="F1069" s="10">
        <v>45547</v>
      </c>
      <c r="H1069">
        <v>221.98966979980469</v>
      </c>
      <c r="J1069">
        <v>2.4596715087512737</v>
      </c>
    </row>
    <row r="1070" spans="6:10" x14ac:dyDescent="0.25">
      <c r="F1070" s="10">
        <v>45548</v>
      </c>
      <c r="H1070">
        <v>221.72062683105469</v>
      </c>
      <c r="J1070">
        <v>2.4566904811860675</v>
      </c>
    </row>
    <row r="1071" spans="6:10" x14ac:dyDescent="0.25">
      <c r="F1071" s="10">
        <v>45551</v>
      </c>
      <c r="H1071">
        <v>215.56228637695313</v>
      </c>
      <c r="J1071">
        <v>2.3884553485792019</v>
      </c>
    </row>
    <row r="1072" spans="6:10" x14ac:dyDescent="0.25">
      <c r="F1072" s="10">
        <v>45552</v>
      </c>
      <c r="H1072">
        <v>216.03060913085938</v>
      </c>
      <c r="J1072">
        <v>2.393644419474807</v>
      </c>
    </row>
    <row r="1073" spans="6:10" x14ac:dyDescent="0.25">
      <c r="F1073" s="10">
        <v>45553</v>
      </c>
      <c r="H1073">
        <v>219.91697692871094</v>
      </c>
      <c r="J1073">
        <v>2.4367058292851129</v>
      </c>
    </row>
    <row r="1074" spans="6:10" x14ac:dyDescent="0.25">
      <c r="F1074" s="10">
        <v>45554</v>
      </c>
      <c r="H1074">
        <v>228.06831359863281</v>
      </c>
      <c r="J1074">
        <v>2.5270235930951475</v>
      </c>
    </row>
    <row r="1075" spans="6:10" x14ac:dyDescent="0.25">
      <c r="F1075" s="10">
        <v>45555</v>
      </c>
      <c r="H1075">
        <v>227.40065002441406</v>
      </c>
      <c r="J1075">
        <v>2.5196258025924729</v>
      </c>
    </row>
    <row r="1076" spans="6:10" x14ac:dyDescent="0.25">
      <c r="F1076" s="10">
        <v>45558</v>
      </c>
      <c r="H1076">
        <v>225.67672729492188</v>
      </c>
      <c r="J1076">
        <v>2.5005245370928457</v>
      </c>
    </row>
    <row r="1077" spans="6:10" x14ac:dyDescent="0.25">
      <c r="F1077" s="10">
        <v>45559</v>
      </c>
      <c r="H1077">
        <v>226.57354736328125</v>
      </c>
      <c r="J1077">
        <v>2.5104614083563113</v>
      </c>
    </row>
    <row r="1078" spans="6:10" x14ac:dyDescent="0.25">
      <c r="F1078" s="10">
        <v>45560</v>
      </c>
      <c r="H1078">
        <v>225.57705688476563</v>
      </c>
      <c r="J1078">
        <v>2.4994201772893105</v>
      </c>
    </row>
    <row r="1079" spans="6:10" x14ac:dyDescent="0.25">
      <c r="F1079" s="10">
        <v>45561</v>
      </c>
      <c r="H1079">
        <v>226.72303771972656</v>
      </c>
      <c r="J1079">
        <v>2.512117778992446</v>
      </c>
    </row>
    <row r="1080" spans="6:10" x14ac:dyDescent="0.25">
      <c r="F1080" s="10">
        <v>45562</v>
      </c>
      <c r="H1080">
        <v>226.99208068847656</v>
      </c>
      <c r="J1080">
        <v>2.5150988065576518</v>
      </c>
    </row>
    <row r="1081" spans="6:10" x14ac:dyDescent="0.25">
      <c r="F1081" s="10">
        <v>45565</v>
      </c>
      <c r="H1081">
        <v>232.18385314941406</v>
      </c>
      <c r="J1081">
        <v>2.5726242527354124</v>
      </c>
    </row>
    <row r="1082" spans="6:10" x14ac:dyDescent="0.25">
      <c r="F1082" s="10">
        <v>45566</v>
      </c>
      <c r="H1082">
        <v>225.41763305664063</v>
      </c>
      <c r="J1082">
        <v>2.4976537426249914</v>
      </c>
    </row>
    <row r="1083" spans="6:10" x14ac:dyDescent="0.25">
      <c r="F1083" s="10">
        <v>45567</v>
      </c>
      <c r="H1083">
        <v>225.98562622070313</v>
      </c>
      <c r="J1083">
        <v>2.5039471733241316</v>
      </c>
    </row>
    <row r="1084" spans="6:10" x14ac:dyDescent="0.25">
      <c r="F1084" s="10">
        <v>45568</v>
      </c>
      <c r="H1084">
        <v>224.8795166015625</v>
      </c>
      <c r="J1084">
        <v>2.4916913493562438</v>
      </c>
    </row>
    <row r="1085" spans="6:10" x14ac:dyDescent="0.25">
      <c r="F1085" s="10">
        <v>45569</v>
      </c>
      <c r="H1085">
        <v>226.00555419921875</v>
      </c>
      <c r="J1085">
        <v>2.5041679776571715</v>
      </c>
    </row>
    <row r="1086" spans="6:10" x14ac:dyDescent="0.25">
      <c r="F1086" s="10">
        <v>45572</v>
      </c>
      <c r="H1086">
        <v>220.91346740722656</v>
      </c>
      <c r="J1086">
        <v>2.4477470603521136</v>
      </c>
    </row>
    <row r="1087" spans="6:10" x14ac:dyDescent="0.25">
      <c r="F1087" s="10">
        <v>45573</v>
      </c>
      <c r="H1087">
        <v>224.97918701171875</v>
      </c>
      <c r="J1087">
        <v>2.4927957091597785</v>
      </c>
    </row>
    <row r="1088" spans="6:10" x14ac:dyDescent="0.25">
      <c r="F1088" s="10">
        <v>45574</v>
      </c>
      <c r="H1088">
        <v>228.73594665527344</v>
      </c>
      <c r="J1088">
        <v>2.5344210454594869</v>
      </c>
    </row>
    <row r="1089" spans="6:10" x14ac:dyDescent="0.25">
      <c r="F1089" s="10">
        <v>45575</v>
      </c>
      <c r="H1089">
        <v>228.23770141601563</v>
      </c>
      <c r="J1089">
        <v>2.5289004299259865</v>
      </c>
    </row>
    <row r="1090" spans="6:10" x14ac:dyDescent="0.25">
      <c r="F1090" s="10">
        <v>45576</v>
      </c>
      <c r="H1090">
        <v>226.75294494628906</v>
      </c>
      <c r="J1090">
        <v>2.5124491545611733</v>
      </c>
    </row>
    <row r="1091" spans="6:10" x14ac:dyDescent="0.25">
      <c r="F1091" s="10">
        <v>45579</v>
      </c>
      <c r="H1091">
        <v>230.48980712890625</v>
      </c>
      <c r="J1091">
        <v>2.5538540246661769</v>
      </c>
    </row>
    <row r="1092" spans="6:10" x14ac:dyDescent="0.25">
      <c r="F1092" s="10">
        <v>45580</v>
      </c>
      <c r="H1092">
        <v>233.03086853027344</v>
      </c>
      <c r="J1092">
        <v>2.5820092822354459</v>
      </c>
    </row>
    <row r="1093" spans="6:10" x14ac:dyDescent="0.25">
      <c r="F1093" s="10">
        <v>45581</v>
      </c>
      <c r="H1093">
        <v>230.96810913085938</v>
      </c>
      <c r="J1093">
        <v>2.5591536667974699</v>
      </c>
    </row>
    <row r="1094" spans="6:10" x14ac:dyDescent="0.25">
      <c r="F1094" s="10">
        <v>45582</v>
      </c>
      <c r="H1094">
        <v>231.33682250976563</v>
      </c>
      <c r="J1094">
        <v>2.5632390541662109</v>
      </c>
    </row>
    <row r="1095" spans="6:10" x14ac:dyDescent="0.25">
      <c r="F1095" s="10">
        <v>45583</v>
      </c>
      <c r="H1095">
        <v>234.17683410644531</v>
      </c>
      <c r="J1095">
        <v>2.5947067148694134</v>
      </c>
    </row>
    <row r="1096" spans="6:10" x14ac:dyDescent="0.25">
      <c r="F1096" s="10">
        <v>45586</v>
      </c>
      <c r="H1096">
        <v>235.65164184570313</v>
      </c>
      <c r="J1096">
        <v>2.6110477571368746</v>
      </c>
    </row>
    <row r="1097" spans="6:10" x14ac:dyDescent="0.25">
      <c r="F1097" s="10">
        <v>45587</v>
      </c>
      <c r="H1097">
        <v>235.03382873535156</v>
      </c>
      <c r="J1097">
        <v>2.6042023156051348</v>
      </c>
    </row>
    <row r="1098" spans="6:10" x14ac:dyDescent="0.25">
      <c r="F1098" s="10">
        <v>45588</v>
      </c>
      <c r="H1098">
        <v>229.95169067382813</v>
      </c>
      <c r="J1098">
        <v>2.5478916313974294</v>
      </c>
    </row>
    <row r="1099" spans="6:10" x14ac:dyDescent="0.25">
      <c r="F1099" s="10">
        <v>45589</v>
      </c>
      <c r="H1099">
        <v>229.76235961914063</v>
      </c>
      <c r="J1099">
        <v>2.5457938211643829</v>
      </c>
    </row>
    <row r="1100" spans="6:10" x14ac:dyDescent="0.25">
      <c r="F1100" s="10">
        <v>45590</v>
      </c>
      <c r="H1100">
        <v>230.59942626953125</v>
      </c>
      <c r="J1100">
        <v>2.555068617567064</v>
      </c>
    </row>
    <row r="1101" spans="6:10" x14ac:dyDescent="0.25">
      <c r="F1101" s="10">
        <v>45593</v>
      </c>
      <c r="H1101">
        <v>232.58244323730469</v>
      </c>
      <c r="J1101">
        <v>2.5770406775345456</v>
      </c>
    </row>
    <row r="1102" spans="6:10" x14ac:dyDescent="0.25">
      <c r="F1102" s="10">
        <v>45594</v>
      </c>
      <c r="H1102">
        <v>232.85150146484375</v>
      </c>
      <c r="J1102">
        <v>2.5800218741689194</v>
      </c>
    </row>
    <row r="1103" spans="6:10" x14ac:dyDescent="0.25">
      <c r="F1103" s="10">
        <v>45595</v>
      </c>
      <c r="H1103">
        <v>229.29400634765625</v>
      </c>
      <c r="J1103">
        <v>2.5406044121304423</v>
      </c>
    </row>
    <row r="1104" spans="6:10" x14ac:dyDescent="0.25">
      <c r="F1104" s="10">
        <v>45596</v>
      </c>
      <c r="H1104">
        <v>225.11868286132813</v>
      </c>
      <c r="J1104">
        <v>2.4943413394910579</v>
      </c>
    </row>
    <row r="1105" spans="6:10" x14ac:dyDescent="0.25">
      <c r="F1105" s="10">
        <v>45597</v>
      </c>
      <c r="H1105">
        <v>222.12918090820313</v>
      </c>
      <c r="J1105">
        <v>2.4612173081517206</v>
      </c>
    </row>
    <row r="1106" spans="6:10" x14ac:dyDescent="0.25">
      <c r="F1106" s="10">
        <v>45600</v>
      </c>
      <c r="H1106">
        <v>221.23233032226563</v>
      </c>
      <c r="J1106">
        <v>2.4512800987499195</v>
      </c>
    </row>
    <row r="1107" spans="6:10" x14ac:dyDescent="0.25">
      <c r="F1107" s="10">
        <v>45601</v>
      </c>
      <c r="H1107">
        <v>222.66729736328125</v>
      </c>
      <c r="J1107">
        <v>2.4671797014204686</v>
      </c>
    </row>
    <row r="1108" spans="6:10" x14ac:dyDescent="0.25">
      <c r="F1108" s="10">
        <v>45602</v>
      </c>
      <c r="H1108">
        <v>221.93984985351563</v>
      </c>
      <c r="J1108">
        <v>2.4591194979186741</v>
      </c>
    </row>
    <row r="1109" spans="6:10" x14ac:dyDescent="0.25">
      <c r="F1109" s="10">
        <v>45603</v>
      </c>
      <c r="H1109">
        <v>226.68318176269531</v>
      </c>
      <c r="J1109">
        <v>2.5116761703263659</v>
      </c>
    </row>
    <row r="1110" spans="6:10" x14ac:dyDescent="0.25">
      <c r="F1110" s="10">
        <v>45604</v>
      </c>
      <c r="H1110">
        <v>226.41383361816406</v>
      </c>
      <c r="J1110">
        <v>2.5086917613778055</v>
      </c>
    </row>
    <row r="1111" spans="6:10" x14ac:dyDescent="0.25">
      <c r="F1111" s="10">
        <v>45607</v>
      </c>
      <c r="H1111">
        <v>223.69039916992188</v>
      </c>
      <c r="J1111">
        <v>2.4785157891159693</v>
      </c>
    </row>
    <row r="1112" spans="6:10" x14ac:dyDescent="0.25">
      <c r="F1112" s="10">
        <v>45608</v>
      </c>
      <c r="H1112">
        <v>223.69039916992188</v>
      </c>
      <c r="J1112">
        <v>2.4785157891159693</v>
      </c>
    </row>
    <row r="1113" spans="6:10" x14ac:dyDescent="0.25">
      <c r="F1113" s="10">
        <v>45609</v>
      </c>
      <c r="H1113">
        <v>224.5782470703125</v>
      </c>
      <c r="J1113">
        <v>2.4883532477088171</v>
      </c>
    </row>
    <row r="1114" spans="6:10" x14ac:dyDescent="0.25">
      <c r="F1114" s="10">
        <v>45610</v>
      </c>
      <c r="H1114">
        <v>227.67079162597656</v>
      </c>
      <c r="J1114">
        <v>2.5226190031377547</v>
      </c>
    </row>
    <row r="1115" spans="6:10" x14ac:dyDescent="0.25">
      <c r="F1115" s="10">
        <v>45611</v>
      </c>
      <c r="H1115">
        <v>224.45854187011719</v>
      </c>
      <c r="J1115">
        <v>2.4870269000880683</v>
      </c>
    </row>
    <row r="1116" spans="6:10" x14ac:dyDescent="0.25">
      <c r="F1116" s="10">
        <v>45614</v>
      </c>
      <c r="H1116">
        <v>227.47126770019531</v>
      </c>
      <c r="J1116">
        <v>2.5204082547006723</v>
      </c>
    </row>
    <row r="1117" spans="6:10" x14ac:dyDescent="0.25">
      <c r="F1117" s="10">
        <v>45615</v>
      </c>
      <c r="H1117">
        <v>227.73065185546875</v>
      </c>
      <c r="J1117">
        <v>2.5232822614827128</v>
      </c>
    </row>
    <row r="1118" spans="6:10" x14ac:dyDescent="0.25">
      <c r="F1118" s="10">
        <v>45616</v>
      </c>
      <c r="H1118">
        <v>228.44891357421875</v>
      </c>
      <c r="J1118">
        <v>2.5312406853455411</v>
      </c>
    </row>
    <row r="1119" spans="6:10" x14ac:dyDescent="0.25">
      <c r="F1119" s="10">
        <v>45617</v>
      </c>
      <c r="H1119">
        <v>227.97007751464844</v>
      </c>
      <c r="J1119">
        <v>2.5259351257933784</v>
      </c>
    </row>
    <row r="1120" spans="6:10" x14ac:dyDescent="0.25">
      <c r="F1120" s="10">
        <v>45618</v>
      </c>
      <c r="H1120">
        <v>229.31681823730469</v>
      </c>
      <c r="J1120">
        <v>2.5408571705361811</v>
      </c>
    </row>
    <row r="1121" spans="6:10" x14ac:dyDescent="0.25">
      <c r="F1121" s="10">
        <v>45621</v>
      </c>
      <c r="H1121">
        <v>232.30960083007813</v>
      </c>
      <c r="J1121">
        <v>2.5740175517465773</v>
      </c>
    </row>
    <row r="1122" spans="6:10" x14ac:dyDescent="0.25">
      <c r="F1122" s="10">
        <v>45622</v>
      </c>
      <c r="H1122">
        <v>234.49432373046875</v>
      </c>
      <c r="J1122">
        <v>2.5982245370421246</v>
      </c>
    </row>
    <row r="1123" spans="6:10" x14ac:dyDescent="0.25">
      <c r="F1123" s="10">
        <v>45623</v>
      </c>
      <c r="H1123">
        <v>234.36463928222656</v>
      </c>
      <c r="J1123">
        <v>2.5967876181856884</v>
      </c>
    </row>
    <row r="1124" spans="6:10" x14ac:dyDescent="0.25">
      <c r="F1124" s="10">
        <v>45625</v>
      </c>
      <c r="H1124">
        <v>236.75886535644531</v>
      </c>
      <c r="J1124">
        <v>2.6233159231540055</v>
      </c>
    </row>
    <row r="1125" spans="6:10" x14ac:dyDescent="0.25">
      <c r="F1125" s="10">
        <v>45628</v>
      </c>
      <c r="H1125">
        <v>239.013427734375</v>
      </c>
      <c r="J1125">
        <v>2.6482967380301989</v>
      </c>
    </row>
    <row r="1126" spans="6:10" x14ac:dyDescent="0.25">
      <c r="F1126" s="10">
        <v>45629</v>
      </c>
      <c r="H1126">
        <v>242.06607055664063</v>
      </c>
      <c r="J1126">
        <v>2.6821203775855538</v>
      </c>
    </row>
    <row r="1127" spans="6:10" x14ac:dyDescent="0.25">
      <c r="F1127" s="10">
        <v>45630</v>
      </c>
      <c r="H1127">
        <v>242.42520141601563</v>
      </c>
      <c r="J1127">
        <v>2.6860995895169677</v>
      </c>
    </row>
    <row r="1128" spans="6:10" x14ac:dyDescent="0.25">
      <c r="F1128" s="10">
        <v>45631</v>
      </c>
      <c r="H1128">
        <v>242.45512390136719</v>
      </c>
      <c r="J1128">
        <v>2.686431134154863</v>
      </c>
    </row>
    <row r="1129" spans="6:10" x14ac:dyDescent="0.25">
      <c r="F1129" s="10">
        <v>45632</v>
      </c>
      <c r="H1129">
        <v>242.25559997558594</v>
      </c>
      <c r="J1129">
        <v>2.6842203857177807</v>
      </c>
    </row>
    <row r="1130" spans="6:10" x14ac:dyDescent="0.25">
      <c r="F1130" s="10">
        <v>45635</v>
      </c>
      <c r="H1130">
        <v>246.15620422363281</v>
      </c>
      <c r="J1130">
        <v>2.7274395370615676</v>
      </c>
    </row>
    <row r="1131" spans="6:10" x14ac:dyDescent="0.25">
      <c r="F1131" s="10">
        <v>45636</v>
      </c>
      <c r="H1131">
        <v>247.17375183105469</v>
      </c>
      <c r="J1131">
        <v>2.7387140835800192</v>
      </c>
    </row>
    <row r="1132" spans="6:10" x14ac:dyDescent="0.25">
      <c r="F1132" s="10">
        <v>45637</v>
      </c>
      <c r="H1132">
        <v>245.89683532714844</v>
      </c>
      <c r="J1132">
        <v>2.7245656993486946</v>
      </c>
    </row>
    <row r="1133" spans="6:10" x14ac:dyDescent="0.25">
      <c r="F1133" s="10">
        <v>45638</v>
      </c>
      <c r="H1133">
        <v>247.36329650878906</v>
      </c>
      <c r="J1133">
        <v>2.7408142607814141</v>
      </c>
    </row>
    <row r="1134" spans="6:10" x14ac:dyDescent="0.25">
      <c r="F1134" s="10">
        <v>45639</v>
      </c>
      <c r="H1134">
        <v>247.53288269042969</v>
      </c>
      <c r="J1134">
        <v>2.7426932955114336</v>
      </c>
    </row>
    <row r="1135" spans="6:10" x14ac:dyDescent="0.25">
      <c r="F1135" s="10">
        <v>45642</v>
      </c>
      <c r="H1135">
        <v>250.43588256835938</v>
      </c>
      <c r="J1135">
        <v>2.7748588737389763</v>
      </c>
    </row>
    <row r="1136" spans="6:10" x14ac:dyDescent="0.25">
      <c r="F1136" s="10">
        <v>45643</v>
      </c>
      <c r="H1136">
        <v>252.8699951171875</v>
      </c>
      <c r="J1136">
        <v>2.8018291255117092</v>
      </c>
    </row>
    <row r="1137" spans="6:10" x14ac:dyDescent="0.25">
      <c r="F1137" s="10">
        <v>45644</v>
      </c>
      <c r="H1137">
        <v>247.45307922363281</v>
      </c>
      <c r="J1137">
        <v>2.7418090637642676</v>
      </c>
    </row>
    <row r="1138" spans="6:10" x14ac:dyDescent="0.25">
      <c r="F1138" s="10">
        <v>45645</v>
      </c>
      <c r="H1138">
        <v>249.18888854980469</v>
      </c>
      <c r="J1138">
        <v>2.7610420341455471</v>
      </c>
    </row>
    <row r="1139" spans="6:10" x14ac:dyDescent="0.25">
      <c r="F1139" s="10">
        <v>45646</v>
      </c>
      <c r="H1139">
        <v>253.87759399414063</v>
      </c>
      <c r="J1139">
        <v>2.8129934389328084</v>
      </c>
    </row>
    <row r="1140" spans="6:10" x14ac:dyDescent="0.25">
      <c r="F1140" s="10">
        <v>45649</v>
      </c>
      <c r="H1140">
        <v>254.65571594238281</v>
      </c>
      <c r="J1140">
        <v>2.8216151211405949</v>
      </c>
    </row>
    <row r="1141" spans="6:10" x14ac:dyDescent="0.25">
      <c r="F1141" s="10">
        <v>45650</v>
      </c>
      <c r="H1141">
        <v>257.57867431640625</v>
      </c>
      <c r="J1141">
        <v>2.854001841839513</v>
      </c>
    </row>
    <row r="1142" spans="6:10" x14ac:dyDescent="0.25">
      <c r="F1142" s="10">
        <v>45652</v>
      </c>
      <c r="H1142">
        <v>258.39666748046875</v>
      </c>
      <c r="J1142">
        <v>2.8630653017825471</v>
      </c>
    </row>
    <row r="1143" spans="6:10" x14ac:dyDescent="0.25">
      <c r="F1143" s="10">
        <v>45653</v>
      </c>
      <c r="H1143">
        <v>254.97492980957031</v>
      </c>
      <c r="J1143">
        <v>2.825152048129258</v>
      </c>
    </row>
    <row r="1144" spans="6:10" x14ac:dyDescent="0.25">
      <c r="F1144" s="10">
        <v>45656</v>
      </c>
      <c r="H1144">
        <v>251.59307861328125</v>
      </c>
      <c r="J1144">
        <v>2.7876807412803846</v>
      </c>
    </row>
    <row r="1145" spans="6:10" x14ac:dyDescent="0.25">
      <c r="F1145" s="10">
        <v>45657</v>
      </c>
      <c r="H1145">
        <v>249.81736755371094</v>
      </c>
      <c r="J1145">
        <v>2.7680056550255219</v>
      </c>
    </row>
    <row r="1146" spans="6:10" x14ac:dyDescent="0.25">
      <c r="F1146" s="10">
        <v>45659</v>
      </c>
      <c r="H1146">
        <v>243.26319885253906</v>
      </c>
      <c r="J1146">
        <v>2.6953846991388799</v>
      </c>
    </row>
    <row r="1147" spans="6:10" x14ac:dyDescent="0.25">
      <c r="F1147" s="10">
        <v>45660</v>
      </c>
      <c r="H1147">
        <v>242.77436828613281</v>
      </c>
      <c r="J1147">
        <v>2.6899683992818617</v>
      </c>
    </row>
    <row r="1148" spans="6:10" x14ac:dyDescent="0.25">
      <c r="F1148" s="10">
        <v>45663</v>
      </c>
      <c r="H1148">
        <v>244.41041564941406</v>
      </c>
      <c r="J1148">
        <v>2.7080959954446002</v>
      </c>
    </row>
    <row r="1149" spans="6:10" x14ac:dyDescent="0.25">
      <c r="F1149" s="10">
        <v>45664</v>
      </c>
      <c r="H1149">
        <v>241.62713623046875</v>
      </c>
      <c r="J1149">
        <v>2.6772569339069738</v>
      </c>
    </row>
    <row r="1150" spans="6:10" x14ac:dyDescent="0.25">
      <c r="F1150" s="10">
        <v>45665</v>
      </c>
      <c r="H1150">
        <v>242.11595153808594</v>
      </c>
      <c r="J1150">
        <v>2.682673064694824</v>
      </c>
    </row>
    <row r="1151" spans="6:10" x14ac:dyDescent="0.25">
      <c r="F1151" s="10">
        <v>45667</v>
      </c>
      <c r="H1151">
        <v>236.28004455566406</v>
      </c>
      <c r="J1151">
        <v>2.6180105326710104</v>
      </c>
    </row>
    <row r="1152" spans="6:10" x14ac:dyDescent="0.25">
      <c r="F1152" s="10">
        <v>45670</v>
      </c>
      <c r="H1152">
        <v>233.83592224121094</v>
      </c>
      <c r="J1152">
        <v>2.590929371524255</v>
      </c>
    </row>
    <row r="1153" spans="6:10" x14ac:dyDescent="0.25">
      <c r="F1153" s="10">
        <v>45671</v>
      </c>
      <c r="H1153">
        <v>232.71861267089844</v>
      </c>
      <c r="J1153">
        <v>2.5785494507872619</v>
      </c>
    </row>
    <row r="1154" spans="6:10" x14ac:dyDescent="0.25">
      <c r="F1154" s="10">
        <v>45672</v>
      </c>
      <c r="H1154">
        <v>237.29756164550781</v>
      </c>
      <c r="J1154">
        <v>2.6292847410511269</v>
      </c>
    </row>
    <row r="1155" spans="6:10" x14ac:dyDescent="0.25">
      <c r="F1155" s="10">
        <v>45673</v>
      </c>
      <c r="H1155">
        <v>227.710693359375</v>
      </c>
      <c r="J1155">
        <v>2.5230611190113374</v>
      </c>
    </row>
    <row r="1156" spans="6:10" x14ac:dyDescent="0.25">
      <c r="F1156" s="10">
        <v>45674</v>
      </c>
      <c r="H1156">
        <v>229.42655944824219</v>
      </c>
      <c r="J1156">
        <v>2.5420731159904095</v>
      </c>
    </row>
    <row r="1157" spans="6:10" x14ac:dyDescent="0.25">
      <c r="F1157" s="10">
        <v>45678</v>
      </c>
      <c r="H1157">
        <v>222.10421752929688</v>
      </c>
      <c r="J1157">
        <v>2.4609407109933339</v>
      </c>
    </row>
    <row r="1158" spans="6:10" x14ac:dyDescent="0.25">
      <c r="F1158" s="10">
        <v>45679</v>
      </c>
      <c r="H1158">
        <v>223.29136657714844</v>
      </c>
      <c r="J1158">
        <v>2.4740944613109725</v>
      </c>
    </row>
    <row r="1159" spans="6:10" x14ac:dyDescent="0.25">
      <c r="F1159" s="10">
        <v>45680</v>
      </c>
      <c r="H1159">
        <v>223.12178039550781</v>
      </c>
      <c r="J1159">
        <v>2.4722154265809531</v>
      </c>
    </row>
    <row r="1160" spans="6:10" x14ac:dyDescent="0.25">
      <c r="F1160" s="10">
        <v>45681</v>
      </c>
      <c r="H1160">
        <v>222.24388122558594</v>
      </c>
      <c r="J1160">
        <v>2.4624882010854581</v>
      </c>
    </row>
    <row r="1161" spans="6:10" x14ac:dyDescent="0.25">
      <c r="F1161" s="10">
        <v>45684</v>
      </c>
      <c r="H1161">
        <v>229.30685424804688</v>
      </c>
      <c r="J1161">
        <v>2.5407467683696607</v>
      </c>
    </row>
    <row r="1162" spans="6:10" x14ac:dyDescent="0.25">
      <c r="F1162" s="10">
        <v>45685</v>
      </c>
      <c r="H1162">
        <v>237.68663024902344</v>
      </c>
      <c r="J1162">
        <v>2.6335956666896037</v>
      </c>
    </row>
    <row r="1163" spans="6:10" x14ac:dyDescent="0.25">
      <c r="F1163" s="10">
        <v>45686</v>
      </c>
      <c r="H1163">
        <v>238.78398132324219</v>
      </c>
      <c r="J1163">
        <v>2.6457544449552213</v>
      </c>
    </row>
    <row r="1164" spans="6:10" x14ac:dyDescent="0.25">
      <c r="F1164" s="10">
        <v>45687</v>
      </c>
      <c r="H1164">
        <v>237.01823425292969</v>
      </c>
      <c r="J1164">
        <v>2.6261897608668785</v>
      </c>
    </row>
    <row r="1165" spans="6:10" x14ac:dyDescent="0.25">
      <c r="F1165" s="10">
        <v>45688</v>
      </c>
      <c r="H1165">
        <v>235.43208312988281</v>
      </c>
      <c r="J1165">
        <v>2.6086150208825782</v>
      </c>
    </row>
    <row r="1166" spans="6:10" x14ac:dyDescent="0.25">
      <c r="F1166" s="10">
        <v>45691</v>
      </c>
      <c r="H1166">
        <v>227.46128845214844</v>
      </c>
      <c r="J1166">
        <v>2.5202976834649848</v>
      </c>
    </row>
    <row r="1167" spans="6:10" x14ac:dyDescent="0.25">
      <c r="F1167" s="10">
        <v>45692</v>
      </c>
      <c r="H1167">
        <v>232.23977661132813</v>
      </c>
      <c r="J1167">
        <v>2.5732438912350992</v>
      </c>
    </row>
    <row r="1168" spans="6:10" x14ac:dyDescent="0.25">
      <c r="F1168" s="10">
        <v>45693</v>
      </c>
      <c r="H1168">
        <v>231.91058349609375</v>
      </c>
      <c r="J1168">
        <v>2.5695963930107482</v>
      </c>
    </row>
    <row r="1169" spans="6:10" x14ac:dyDescent="0.25">
      <c r="F1169" s="10">
        <v>45694</v>
      </c>
      <c r="H1169">
        <v>232.65876770019531</v>
      </c>
      <c r="J1169">
        <v>2.5778863615114718</v>
      </c>
    </row>
    <row r="1170" spans="6:10" x14ac:dyDescent="0.25">
      <c r="F1170" s="10">
        <v>45695</v>
      </c>
      <c r="H1170">
        <v>227.08221435546875</v>
      </c>
      <c r="J1170">
        <v>2.5160974981313631</v>
      </c>
    </row>
    <row r="1171" spans="6:10" x14ac:dyDescent="0.25">
      <c r="F1171" s="10">
        <v>45698</v>
      </c>
      <c r="H1171">
        <v>227.35185241699219</v>
      </c>
      <c r="J1171">
        <v>2.5190851193941102</v>
      </c>
    </row>
    <row r="1172" spans="6:10" x14ac:dyDescent="0.25">
      <c r="F1172" s="10">
        <v>45699</v>
      </c>
      <c r="H1172">
        <v>232.31535339355469</v>
      </c>
      <c r="J1172">
        <v>2.5740812908228072</v>
      </c>
    </row>
    <row r="1173" spans="6:10" x14ac:dyDescent="0.25">
      <c r="F1173" s="10">
        <v>45700</v>
      </c>
      <c r="H1173">
        <v>236.55978393554688</v>
      </c>
      <c r="J1173">
        <v>2.6211100777227871</v>
      </c>
    </row>
    <row r="1174" spans="6:10" x14ac:dyDescent="0.25">
      <c r="F1174" s="10">
        <v>45701</v>
      </c>
      <c r="H1174">
        <v>241.21368408203125</v>
      </c>
      <c r="J1174">
        <v>2.6726758357384832</v>
      </c>
    </row>
    <row r="1175" spans="6:10" x14ac:dyDescent="0.25">
      <c r="F1175" s="10">
        <v>45702</v>
      </c>
      <c r="H1175">
        <v>244.2796630859375</v>
      </c>
      <c r="J1175">
        <v>2.7066472417464236</v>
      </c>
    </row>
    <row r="1176" spans="6:10" x14ac:dyDescent="0.25">
      <c r="F1176" s="10">
        <v>45706</v>
      </c>
      <c r="H1176">
        <v>244.14984130859375</v>
      </c>
      <c r="J1176">
        <v>2.7052088012674775</v>
      </c>
    </row>
    <row r="1177" spans="6:10" x14ac:dyDescent="0.25">
      <c r="F1177" s="10">
        <v>45707</v>
      </c>
      <c r="H1177">
        <v>244.54930114746094</v>
      </c>
      <c r="J1177">
        <v>2.7096348630091707</v>
      </c>
    </row>
    <row r="1178" spans="6:10" x14ac:dyDescent="0.25">
      <c r="F1178" s="10">
        <v>45708</v>
      </c>
      <c r="H1178">
        <v>245.508056640625</v>
      </c>
      <c r="J1178">
        <v>2.7202579860244045</v>
      </c>
    </row>
    <row r="1179" spans="6:10" x14ac:dyDescent="0.25">
      <c r="F1179" s="10">
        <v>45709</v>
      </c>
      <c r="H1179">
        <v>245.22842407226563</v>
      </c>
      <c r="J1179">
        <v>2.7171596244568019</v>
      </c>
    </row>
    <row r="1180" spans="6:10" x14ac:dyDescent="0.25">
      <c r="F1180" s="10">
        <v>45712</v>
      </c>
      <c r="H1180">
        <v>246.77639770507813</v>
      </c>
      <c r="J1180">
        <v>2.7343113533834713</v>
      </c>
    </row>
    <row r="1181" spans="6:10" x14ac:dyDescent="0.25">
      <c r="F1181" s="10">
        <v>45713</v>
      </c>
      <c r="H1181">
        <v>246.71646118164063</v>
      </c>
      <c r="J1181">
        <v>2.7336472496926745</v>
      </c>
    </row>
    <row r="1182" spans="6:10" x14ac:dyDescent="0.25">
      <c r="F1182" s="10">
        <v>45714</v>
      </c>
      <c r="H1182">
        <v>240.04521179199219</v>
      </c>
      <c r="J1182">
        <v>2.6597290260821316</v>
      </c>
    </row>
    <row r="1183" spans="6:10" x14ac:dyDescent="0.25">
      <c r="F1183" s="10">
        <v>45715</v>
      </c>
      <c r="H1183">
        <v>236.98922729492188</v>
      </c>
      <c r="J1183">
        <v>2.6258683603790463</v>
      </c>
    </row>
    <row r="1184" spans="6:10" x14ac:dyDescent="0.25">
      <c r="F1184" s="10">
        <v>45716</v>
      </c>
      <c r="H1184">
        <v>241.52326965332031</v>
      </c>
      <c r="J1184">
        <v>2.6761060800823162</v>
      </c>
    </row>
    <row r="1185" spans="6:10" x14ac:dyDescent="0.25">
      <c r="F1185" s="10">
        <v>45719</v>
      </c>
      <c r="H1185">
        <v>237.71826171875</v>
      </c>
      <c r="J1185">
        <v>2.6339461470742833</v>
      </c>
    </row>
    <row r="1186" spans="6:10" x14ac:dyDescent="0.25">
      <c r="F1186" s="10">
        <v>45720</v>
      </c>
      <c r="H1186">
        <v>235.62101745605469</v>
      </c>
      <c r="J1186">
        <v>2.6107084353172643</v>
      </c>
    </row>
    <row r="1187" spans="6:10" x14ac:dyDescent="0.25">
      <c r="F1187" s="10">
        <v>45721</v>
      </c>
      <c r="H1187">
        <v>235.4312744140625</v>
      </c>
      <c r="J1187">
        <v>2.6086060602166894</v>
      </c>
    </row>
    <row r="1188" spans="6:10" x14ac:dyDescent="0.25">
      <c r="F1188" s="10">
        <v>45722</v>
      </c>
      <c r="H1188">
        <v>235.02180480957031</v>
      </c>
      <c r="J1188">
        <v>2.6040690891009728</v>
      </c>
    </row>
    <row r="1189" spans="6:10" x14ac:dyDescent="0.25">
      <c r="F1189" s="10">
        <v>45723</v>
      </c>
      <c r="H1189">
        <v>238.75691223144531</v>
      </c>
      <c r="J1189">
        <v>2.6454545162516894</v>
      </c>
    </row>
    <row r="1190" spans="6:10" x14ac:dyDescent="0.25">
      <c r="F1190" s="10">
        <v>45726</v>
      </c>
      <c r="H1190">
        <v>227.18208312988281</v>
      </c>
      <c r="J1190">
        <v>2.5172040558340782</v>
      </c>
    </row>
    <row r="1191" spans="6:10" x14ac:dyDescent="0.25">
      <c r="F1191" s="10">
        <v>45727</v>
      </c>
      <c r="H1191">
        <v>220.55078125</v>
      </c>
      <c r="J1191">
        <v>2.4437284553046212</v>
      </c>
    </row>
    <row r="1192" spans="6:10" x14ac:dyDescent="0.25">
      <c r="F1192" s="10">
        <v>45728</v>
      </c>
      <c r="H1192">
        <v>216.69583129882813</v>
      </c>
      <c r="J1192">
        <v>2.401015158910647</v>
      </c>
    </row>
    <row r="1193" spans="6:10" x14ac:dyDescent="0.25">
      <c r="F1193" s="10">
        <v>45729</v>
      </c>
      <c r="H1193">
        <v>209.4053955078125</v>
      </c>
      <c r="J1193">
        <v>2.3202362775432697</v>
      </c>
    </row>
    <row r="1194" spans="6:10" x14ac:dyDescent="0.25">
      <c r="F1194" s="10">
        <v>45730</v>
      </c>
      <c r="H1194">
        <v>213.21041870117188</v>
      </c>
      <c r="J1194">
        <v>2.3623963796204701</v>
      </c>
    </row>
    <row r="1195" spans="6:10" x14ac:dyDescent="0.25">
      <c r="F1195" s="10">
        <v>45733</v>
      </c>
      <c r="H1195">
        <v>213.71974182128906</v>
      </c>
      <c r="J1195">
        <v>2.3680397393697339</v>
      </c>
    </row>
    <row r="1196" spans="6:10" x14ac:dyDescent="0.25">
      <c r="F1196" s="10">
        <v>45734</v>
      </c>
      <c r="H1196">
        <v>212.41145324707031</v>
      </c>
      <c r="J1196">
        <v>2.3535437489295807</v>
      </c>
    </row>
    <row r="1197" spans="6:10" x14ac:dyDescent="0.25">
      <c r="F1197" s="10">
        <v>45735</v>
      </c>
      <c r="H1197">
        <v>214.95811462402344</v>
      </c>
      <c r="J1197">
        <v>2.3817610548834023</v>
      </c>
    </row>
    <row r="1198" spans="6:10" x14ac:dyDescent="0.25">
      <c r="F1198" s="10">
        <v>45736</v>
      </c>
      <c r="H1198">
        <v>213.81961059570313</v>
      </c>
      <c r="J1198">
        <v>2.3691462970724491</v>
      </c>
    </row>
    <row r="1199" spans="6:10" x14ac:dyDescent="0.25">
      <c r="F1199" s="10">
        <v>45737</v>
      </c>
      <c r="H1199">
        <v>217.98414611816406</v>
      </c>
      <c r="J1199">
        <v>2.4152898378102567</v>
      </c>
    </row>
    <row r="1200" spans="6:10" x14ac:dyDescent="0.25">
      <c r="F1200" s="10">
        <v>45740</v>
      </c>
      <c r="H1200">
        <v>220.44091796875</v>
      </c>
      <c r="J1200">
        <v>2.4425111572970506</v>
      </c>
    </row>
    <row r="1201" spans="6:10" x14ac:dyDescent="0.25">
      <c r="F1201" s="10">
        <v>45741</v>
      </c>
      <c r="H1201">
        <v>223.45697021484375</v>
      </c>
      <c r="J1201">
        <v>2.4759293689882176</v>
      </c>
    </row>
    <row r="1202" spans="6:10" x14ac:dyDescent="0.25">
      <c r="F1202" s="10">
        <v>45742</v>
      </c>
      <c r="H1202">
        <v>221.2398681640625</v>
      </c>
      <c r="J1202">
        <v>2.4513636189187724</v>
      </c>
    </row>
    <row r="1203" spans="6:10" x14ac:dyDescent="0.25">
      <c r="F1203" s="10">
        <v>45743</v>
      </c>
      <c r="H1203">
        <v>223.55683898925781</v>
      </c>
      <c r="J1203">
        <v>2.4770359266909328</v>
      </c>
    </row>
    <row r="1204" spans="6:10" x14ac:dyDescent="0.25">
      <c r="F1204" s="10">
        <v>45744</v>
      </c>
      <c r="H1204">
        <v>217.6146240234375</v>
      </c>
      <c r="J1204">
        <v>2.4111954897756265</v>
      </c>
    </row>
    <row r="1205" spans="6:10" x14ac:dyDescent="0.25">
      <c r="F1205" s="10">
        <v>45747</v>
      </c>
      <c r="H1205">
        <v>221.83909606933594</v>
      </c>
      <c r="J1205">
        <v>2.458003134204231</v>
      </c>
    </row>
    <row r="1206" spans="6:10" x14ac:dyDescent="0.25">
      <c r="F1206" s="10">
        <v>45748</v>
      </c>
      <c r="H1206">
        <v>222.897705078125</v>
      </c>
      <c r="J1206">
        <v>2.4697326458530124</v>
      </c>
    </row>
    <row r="1207" spans="6:10" x14ac:dyDescent="0.25">
      <c r="F1207" s="10">
        <v>45749</v>
      </c>
      <c r="H1207">
        <v>223.59678649902344</v>
      </c>
      <c r="J1207">
        <v>2.4774785497720186</v>
      </c>
    </row>
    <row r="1208" spans="6:10" x14ac:dyDescent="0.25">
      <c r="F1208" s="10">
        <v>45750</v>
      </c>
      <c r="H1208">
        <v>202.92390441894531</v>
      </c>
      <c r="J1208">
        <v>2.2484205981024692</v>
      </c>
    </row>
    <row r="1209" spans="6:10" x14ac:dyDescent="0.25">
      <c r="F1209" s="10">
        <v>45751</v>
      </c>
      <c r="H1209">
        <v>188.13330078125</v>
      </c>
      <c r="J1209">
        <v>2.0845389796574287</v>
      </c>
    </row>
    <row r="1210" spans="6:10" x14ac:dyDescent="0.25">
      <c r="F1210" s="10">
        <v>45754</v>
      </c>
      <c r="H1210">
        <v>181.22236633300781</v>
      </c>
      <c r="J1210">
        <v>2.0079650175603692</v>
      </c>
    </row>
    <row r="1211" spans="6:10" x14ac:dyDescent="0.25">
      <c r="F1211" s="10">
        <v>45755</v>
      </c>
      <c r="H1211">
        <v>172.19419860839844</v>
      </c>
      <c r="J1211">
        <v>1.9079318630965796</v>
      </c>
    </row>
    <row r="1212" spans="6:10" x14ac:dyDescent="0.25">
      <c r="F1212" s="10">
        <v>45756</v>
      </c>
      <c r="H1212">
        <v>198.58958435058594</v>
      </c>
      <c r="J1212">
        <v>2.2003958247354616</v>
      </c>
    </row>
    <row r="1213" spans="6:10" x14ac:dyDescent="0.25">
      <c r="F1213" s="10">
        <v>45757</v>
      </c>
      <c r="H1213">
        <v>190.17062377929688</v>
      </c>
      <c r="J1213">
        <v>2.107112756792819</v>
      </c>
    </row>
    <row r="1214" spans="6:10" x14ac:dyDescent="0.25">
      <c r="F1214" s="10">
        <v>45758</v>
      </c>
      <c r="H1214">
        <v>197.89048767089844</v>
      </c>
      <c r="J1214">
        <v>2.1926497517472874</v>
      </c>
    </row>
    <row r="1215" spans="6:10" x14ac:dyDescent="0.25">
      <c r="F1215" s="10">
        <v>45761</v>
      </c>
      <c r="H1215">
        <v>202.25477600097656</v>
      </c>
      <c r="J1215">
        <v>2.2410065769596934</v>
      </c>
    </row>
    <row r="1216" spans="6:10" x14ac:dyDescent="0.25">
      <c r="F1216" s="10">
        <v>45762</v>
      </c>
      <c r="H1216">
        <v>201.87527465820313</v>
      </c>
      <c r="J1216">
        <v>2.2368016576893757</v>
      </c>
    </row>
    <row r="1217" spans="6:10" x14ac:dyDescent="0.25">
      <c r="F1217" s="10">
        <v>45763</v>
      </c>
      <c r="H1217">
        <v>194.01557922363281</v>
      </c>
      <c r="J1217">
        <v>2.1497153128819377</v>
      </c>
    </row>
    <row r="1218" spans="6:10" x14ac:dyDescent="0.25">
      <c r="F1218" s="10">
        <v>45764</v>
      </c>
      <c r="H1218">
        <v>196.72203063964844</v>
      </c>
      <c r="J1218">
        <v>2.1797031111601037</v>
      </c>
    </row>
    <row r="1219" spans="6:10" x14ac:dyDescent="0.25">
      <c r="F1219" s="10">
        <v>45768</v>
      </c>
      <c r="H1219">
        <v>192.90702819824219</v>
      </c>
      <c r="J1219">
        <v>2.1374324378472154</v>
      </c>
    </row>
    <row r="1220" spans="6:10" x14ac:dyDescent="0.25">
      <c r="F1220" s="10">
        <v>45769</v>
      </c>
      <c r="H1220">
        <v>199.47842407226563</v>
      </c>
      <c r="J1220">
        <v>2.2102442728242107</v>
      </c>
    </row>
    <row r="1221" spans="6:10" x14ac:dyDescent="0.25">
      <c r="F1221" s="10">
        <v>45770</v>
      </c>
      <c r="H1221">
        <v>204.33206176757813</v>
      </c>
      <c r="J1221">
        <v>2.2640231462453371</v>
      </c>
    </row>
    <row r="1222" spans="6:10" x14ac:dyDescent="0.25">
      <c r="F1222" s="10">
        <v>45771</v>
      </c>
      <c r="H1222">
        <v>208.09710693359375</v>
      </c>
      <c r="J1222">
        <v>2.3057402871031165</v>
      </c>
    </row>
    <row r="1223" spans="6:10" x14ac:dyDescent="0.25">
      <c r="F1223" s="10">
        <v>45772</v>
      </c>
      <c r="H1223">
        <v>209.00592041015625</v>
      </c>
      <c r="J1223">
        <v>2.3158100467324085</v>
      </c>
    </row>
    <row r="1224" spans="6:10" x14ac:dyDescent="0.25">
      <c r="F1224" s="10">
        <v>45775</v>
      </c>
      <c r="H1224">
        <v>209.86479187011719</v>
      </c>
      <c r="J1224">
        <v>2.3253264429757592</v>
      </c>
    </row>
    <row r="1225" spans="6:10" x14ac:dyDescent="0.25">
      <c r="F1225" s="10">
        <v>45776</v>
      </c>
      <c r="H1225">
        <v>210.93339538574219</v>
      </c>
      <c r="J1225">
        <v>2.3371666949293957</v>
      </c>
    </row>
    <row r="1226" spans="6:10" x14ac:dyDescent="0.25">
      <c r="F1226" s="10">
        <v>45777</v>
      </c>
      <c r="H1226">
        <v>212.22171020507813</v>
      </c>
      <c r="J1226">
        <v>2.3514413738290059</v>
      </c>
    </row>
    <row r="1227" spans="6:10" x14ac:dyDescent="0.25">
      <c r="F1227" s="10">
        <v>45778</v>
      </c>
      <c r="H1227">
        <v>213.04063415527344</v>
      </c>
      <c r="J1227">
        <v>2.3605151469912706</v>
      </c>
    </row>
    <row r="1228" spans="6:10" x14ac:dyDescent="0.25">
      <c r="F1228" s="10">
        <v>45779</v>
      </c>
      <c r="H1228">
        <v>205.08106994628906</v>
      </c>
      <c r="J1228">
        <v>2.2723222444811175</v>
      </c>
    </row>
    <row r="1229" spans="6:10" x14ac:dyDescent="0.25">
      <c r="F1229" s="10">
        <v>45782</v>
      </c>
      <c r="H1229">
        <v>198.62953186035156</v>
      </c>
      <c r="J1229">
        <v>2.2008384478165479</v>
      </c>
    </row>
    <row r="1230" spans="6:10" x14ac:dyDescent="0.25">
      <c r="F1230" s="10">
        <v>45783</v>
      </c>
      <c r="H1230">
        <v>198.25001525878906</v>
      </c>
      <c r="J1230">
        <v>2.1966333594770622</v>
      </c>
    </row>
    <row r="1231" spans="6:10" x14ac:dyDescent="0.25">
      <c r="F1231" s="10">
        <v>45784</v>
      </c>
      <c r="H1231">
        <v>195.99298095703125</v>
      </c>
      <c r="J1231">
        <v>2.1716251553956987</v>
      </c>
    </row>
    <row r="1232" spans="6:10" x14ac:dyDescent="0.25">
      <c r="F1232" s="10">
        <v>45785</v>
      </c>
      <c r="H1232">
        <v>197.23136901855469</v>
      </c>
      <c r="J1232">
        <v>2.1853466399785351</v>
      </c>
    </row>
    <row r="1233" spans="6:10" x14ac:dyDescent="0.25">
      <c r="F1233" s="10">
        <v>45786</v>
      </c>
      <c r="H1233">
        <v>198.27000427246094</v>
      </c>
      <c r="J1233">
        <v>2.1968548400867731</v>
      </c>
    </row>
    <row r="1234" spans="6:10" x14ac:dyDescent="0.25">
      <c r="F1234" s="10">
        <v>45789</v>
      </c>
      <c r="H1234">
        <v>210.78999328613281</v>
      </c>
      <c r="J1234">
        <v>2.335577782891181</v>
      </c>
    </row>
    <row r="1235" spans="6:10" x14ac:dyDescent="0.25">
      <c r="F1235" s="10">
        <v>45790</v>
      </c>
      <c r="H1235">
        <v>212.92999267578125</v>
      </c>
      <c r="J1235">
        <v>2.3592892264561462</v>
      </c>
    </row>
    <row r="1236" spans="6:10" x14ac:dyDescent="0.25">
      <c r="F1236" s="10">
        <v>45791</v>
      </c>
      <c r="H1236">
        <v>212.33000183105469</v>
      </c>
      <c r="J1236">
        <v>2.3526412577123015</v>
      </c>
    </row>
    <row r="1237" spans="6:10" x14ac:dyDescent="0.25">
      <c r="F1237" s="10">
        <v>45792</v>
      </c>
      <c r="H1237">
        <v>211.44999694824219</v>
      </c>
      <c r="J1237">
        <v>2.3428907006716613</v>
      </c>
    </row>
    <row r="1238" spans="6:10" x14ac:dyDescent="0.25">
      <c r="F1238" s="10">
        <v>45793</v>
      </c>
      <c r="H1238">
        <v>211.25999450683594</v>
      </c>
      <c r="J1238">
        <v>2.3407854513952349</v>
      </c>
    </row>
    <row r="1239" spans="6:10" x14ac:dyDescent="0.25">
      <c r="F1239" s="10">
        <v>45796</v>
      </c>
      <c r="H1239">
        <v>208.77999877929688</v>
      </c>
      <c r="J1239">
        <v>2.3133068086351738</v>
      </c>
    </row>
    <row r="1240" spans="6:10" x14ac:dyDescent="0.25">
      <c r="F1240" s="10">
        <v>45797</v>
      </c>
      <c r="H1240">
        <v>206.86000061035156</v>
      </c>
      <c r="J1240">
        <v>2.2920330043303685</v>
      </c>
    </row>
    <row r="1241" spans="6:10" x14ac:dyDescent="0.25">
      <c r="F1241" s="10">
        <v>45798</v>
      </c>
      <c r="H1241">
        <v>202.08999633789063</v>
      </c>
      <c r="J1241">
        <v>2.2391807990175052</v>
      </c>
    </row>
    <row r="1242" spans="6:10" x14ac:dyDescent="0.25">
      <c r="F1242" s="10">
        <v>45799</v>
      </c>
      <c r="H1242">
        <v>201.36000061035156</v>
      </c>
      <c r="J1242">
        <v>2.231092360964702</v>
      </c>
    </row>
    <row r="1243" spans="6:10" x14ac:dyDescent="0.25">
      <c r="F1243" s="10">
        <v>45800</v>
      </c>
      <c r="H1243">
        <v>195.27000427246094</v>
      </c>
      <c r="J1243">
        <v>2.1636144891600457</v>
      </c>
    </row>
    <row r="1244" spans="6:10" x14ac:dyDescent="0.25">
      <c r="F1244" s="10">
        <v>45804</v>
      </c>
      <c r="H1244">
        <v>200.21000671386719</v>
      </c>
      <c r="J1244">
        <v>2.2183502940704569</v>
      </c>
    </row>
    <row r="1245" spans="6:10" x14ac:dyDescent="0.25">
      <c r="F1245" s="10">
        <v>45805</v>
      </c>
      <c r="H1245">
        <v>200.41999816894531</v>
      </c>
      <c r="J1245">
        <v>2.2206770239565938</v>
      </c>
    </row>
    <row r="1246" spans="6:10" x14ac:dyDescent="0.25">
      <c r="F1246" s="10">
        <v>45806</v>
      </c>
      <c r="H1246">
        <v>199.94999694824219</v>
      </c>
      <c r="J1246">
        <v>2.21546935545254</v>
      </c>
    </row>
    <row r="1247" spans="6:10" x14ac:dyDescent="0.25">
      <c r="F1247" s="10">
        <v>45807</v>
      </c>
      <c r="H1247">
        <v>200.85000610351563</v>
      </c>
      <c r="J1247">
        <v>2.2254415621720587</v>
      </c>
    </row>
    <row r="1248" spans="6:10" x14ac:dyDescent="0.25">
      <c r="F1248" s="10">
        <v>45810</v>
      </c>
      <c r="H1248">
        <v>201.69999694824219</v>
      </c>
      <c r="J1248">
        <v>2.2348595601597974</v>
      </c>
    </row>
    <row r="1249" spans="6:10" x14ac:dyDescent="0.25">
      <c r="F1249" s="10">
        <v>45811</v>
      </c>
      <c r="H1249">
        <v>203.27000427246094</v>
      </c>
      <c r="J1249">
        <v>2.2522554249646518</v>
      </c>
    </row>
    <row r="1250" spans="6:10" x14ac:dyDescent="0.25">
      <c r="F1250" s="10">
        <v>45812</v>
      </c>
      <c r="H1250">
        <v>202.82000732421875</v>
      </c>
      <c r="J1250">
        <v>2.2472694061394765</v>
      </c>
    </row>
    <row r="1251" spans="6:10" x14ac:dyDescent="0.25">
      <c r="F1251" s="10">
        <v>45813</v>
      </c>
      <c r="H1251">
        <v>200.6300048828125</v>
      </c>
      <c r="J1251">
        <v>2.2230039229118987</v>
      </c>
    </row>
    <row r="1252" spans="6:10" x14ac:dyDescent="0.25">
      <c r="F1252" s="10">
        <v>45814</v>
      </c>
      <c r="H1252">
        <v>203.91999816894531</v>
      </c>
      <c r="J1252">
        <v>2.259457433371109</v>
      </c>
    </row>
    <row r="1253" spans="6:10" x14ac:dyDescent="0.25">
      <c r="F1253" s="10">
        <v>45817</v>
      </c>
      <c r="H1253">
        <v>201.44999694824219</v>
      </c>
      <c r="J1253">
        <v>2.2320895309159035</v>
      </c>
    </row>
    <row r="1254" spans="6:10" x14ac:dyDescent="0.25">
      <c r="F1254" s="10">
        <v>45818</v>
      </c>
      <c r="H1254">
        <v>202.66999816894531</v>
      </c>
      <c r="J1254">
        <v>2.2456072871516395</v>
      </c>
    </row>
    <row r="1255" spans="6:10" x14ac:dyDescent="0.25">
      <c r="F1255" s="10">
        <v>45819</v>
      </c>
      <c r="H1255">
        <v>198.77999877929688</v>
      </c>
      <c r="J1255">
        <v>2.2025056388794164</v>
      </c>
    </row>
    <row r="1256" spans="6:10" x14ac:dyDescent="0.25">
      <c r="F1256" s="10">
        <v>45820</v>
      </c>
      <c r="H1256">
        <v>199.19999694824219</v>
      </c>
      <c r="J1256">
        <v>2.2071592677208578</v>
      </c>
    </row>
    <row r="1257" spans="6:10" x14ac:dyDescent="0.25">
      <c r="F1257" s="10">
        <v>45821</v>
      </c>
      <c r="H1257">
        <v>196.44999694824219</v>
      </c>
      <c r="J1257">
        <v>2.1766889460380248</v>
      </c>
    </row>
    <row r="1258" spans="6:10" x14ac:dyDescent="0.25">
      <c r="F1258" s="10">
        <v>45824</v>
      </c>
      <c r="H1258">
        <v>198.41999816894531</v>
      </c>
      <c r="J1258">
        <v>2.1985167900054425</v>
      </c>
    </row>
    <row r="1259" spans="6:10" x14ac:dyDescent="0.25">
      <c r="F1259" s="10">
        <v>45825</v>
      </c>
      <c r="H1259">
        <v>195.63999938964844</v>
      </c>
      <c r="J1259">
        <v>2.1677140783388751</v>
      </c>
    </row>
    <row r="1260" spans="6:10" x14ac:dyDescent="0.25">
      <c r="F1260" s="10">
        <v>45826</v>
      </c>
      <c r="H1260">
        <v>196.58000183105469</v>
      </c>
      <c r="J1260">
        <v>2.1781294153469832</v>
      </c>
    </row>
    <row r="1261" spans="6:10" x14ac:dyDescent="0.25">
      <c r="F1261" s="10">
        <v>45828</v>
      </c>
      <c r="H1261">
        <v>201</v>
      </c>
      <c r="J1261">
        <v>2.2271035120907281</v>
      </c>
    </row>
    <row r="1262" spans="6:10" x14ac:dyDescent="0.25">
      <c r="F1262" s="10">
        <v>45831</v>
      </c>
      <c r="H1262">
        <v>201.5</v>
      </c>
      <c r="J1262">
        <v>2.2326435705785159</v>
      </c>
    </row>
    <row r="1263" spans="6:10" x14ac:dyDescent="0.25">
      <c r="F1263" s="10">
        <v>45832</v>
      </c>
      <c r="H1263">
        <v>200.30000305175781</v>
      </c>
      <c r="J1263">
        <v>2.2193474640216584</v>
      </c>
    </row>
    <row r="1264" spans="6:10" x14ac:dyDescent="0.25">
      <c r="F1264" s="10">
        <v>45833</v>
      </c>
      <c r="H1264">
        <v>201.55999755859375</v>
      </c>
      <c r="J1264">
        <v>2.2333083505459834</v>
      </c>
    </row>
    <row r="1265" spans="6:10" x14ac:dyDescent="0.25">
      <c r="F1265">
        <v>45834</v>
      </c>
      <c r="H1265">
        <v>201</v>
      </c>
      <c r="J1265">
        <v>2.2271035120907281</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index</vt:lpstr>
      <vt:lpstr>ex1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Evans</dc:creator>
  <cp:lastModifiedBy>Daniel Evans</cp:lastModifiedBy>
  <dcterms:created xsi:type="dcterms:W3CDTF">2025-06-21T09:11:43Z</dcterms:created>
  <dcterms:modified xsi:type="dcterms:W3CDTF">2025-06-27T19:28:32Z</dcterms:modified>
</cp:coreProperties>
</file>
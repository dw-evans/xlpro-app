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niel Evans\projects\xlpro\xlpro_examples\"/>
    </mc:Choice>
  </mc:AlternateContent>
  <xr:revisionPtr revIDLastSave="0" documentId="13_ncr:1_{6CC63982-B6AB-4136-A909-D174F712F047}" xr6:coauthVersionLast="47" xr6:coauthVersionMax="47" xr10:uidLastSave="{00000000-0000-0000-0000-000000000000}"/>
  <bookViews>
    <workbookView xWindow="19200" yWindow="0" windowWidth="19110" windowHeight="21000" xr2:uid="{50261AAC-EA29-4D40-8747-47D57C6B32BE}"/>
  </bookViews>
  <sheets>
    <sheet name="Sheet1" sheetId="1" r:id="rId1"/>
    <sheet name="Sheet3" sheetId="3" r:id="rId2"/>
  </sheets>
  <definedNames>
    <definedName name="args_condense">"iterable_val"</definedName>
    <definedName name="args_cpy">"val"</definedName>
    <definedName name="args_create_dataframe_basic">"seed"</definedName>
    <definedName name="args_create_dataframe_with_datetime">"seed"</definedName>
    <definedName name="args_create_dataframe_with_multiindex">"seed"</definedName>
    <definedName name="args_create_table_from_df">{"df";"table_name";"flatten_multiindex";"flatten_multiindex_sep"}</definedName>
    <definedName name="args_deepcpy">"val"</definedName>
    <definedName name="args_hello">"name"</definedName>
    <definedName name="args_list_expansion_test_bool">"seed"</definedName>
    <definedName name="args_list_expansion_test_datetime_datetime">"seed"</definedName>
    <definedName name="args_list_expansion_test_float">"seed"</definedName>
    <definedName name="args_list_expansion_test_int">"seed"</definedName>
    <definedName name="args_list_expansion_test_np_datetime">"seed"</definedName>
    <definedName name="args_list_expansion_test_pyobjects">"seed"</definedName>
    <definedName name="args_pyadd">{"val";"rhs"}</definedName>
    <definedName name="args_pydiv">{"val";"rhs"}</definedName>
    <definedName name="args_pyeq">{"val";"rhs"}</definedName>
    <definedName name="args_pyge">{"val";"rhs"}</definedName>
    <definedName name="args_pygetattr">{"obj";"attrname";"default"}</definedName>
    <definedName name="args_pygetitem">{"obj";"val"}</definedName>
    <definedName name="args_pygt">{"val";"rhs"}</definedName>
    <definedName name="args_pyhash">"vals"</definedName>
    <definedName name="args_pyle">{"val";"rhs"}</definedName>
    <definedName name="args_pylen">"val"</definedName>
    <definedName name="args_pylt">{"val";"rhs"}</definedName>
    <definedName name="args_pymod">{"val";"rhs"}</definedName>
    <definedName name="args_pymul">{"val";"rhs"}</definedName>
    <definedName name="args_pyne">{"val";"rhs"}</definedName>
    <definedName name="args_pynot">"val"</definedName>
    <definedName name="args_pypow">{"val";"exp"}</definedName>
    <definedName name="args_pyrepr">"val"</definedName>
    <definedName name="args_pyshape">"val"</definedName>
    <definedName name="args_pystr">"val"</definedName>
    <definedName name="args_pysub">{"val";"rhs"}</definedName>
    <definedName name="args_pytype">"val"</definedName>
    <definedName name="args_show">"val"</definedName>
    <definedName name="args_show_image">{"val";"name";"seed"}</definedName>
    <definedName name="args_test_cast_list">"a"</definedName>
    <definedName name="args_test_cast_list_int_">"a"</definedName>
    <definedName name="args_test_cast_list1d">"a"</definedName>
    <definedName name="args_test_cast_list1d_int_">"a"</definedName>
    <definedName name="args_test_cast_list2d">"a"</definedName>
    <definedName name="args_test_cast_list2d_int_">"a"</definedName>
    <definedName name="args_test_cast_ndarray1d">"a"</definedName>
    <definedName name="args_test_cast_ndarray1d_np_datetime64_">"a"</definedName>
    <definedName name="args_test_cast_ndarray1d_np_int32_">"a"</definedName>
    <definedName name="args_test_cast_ndarray2d">"a"</definedName>
    <definedName name="args_test_cast_ndarray2d_np_datetime64_">"a"</definedName>
    <definedName name="args_test_cast_ndarray2d_np_datetime64_show_dt">"a"</definedName>
    <definedName name="args_test_cast_ndarray2d_np_int32_">"a"</definedName>
    <definedName name="args_test_cast_np_ndarray">"a"</definedName>
    <definedName name="args_test_cast_np_ndarray_int_">"a"</definedName>
    <definedName name="args_test_cast_np_ndarray_np_float64_">"a"</definedName>
    <definedName name="args_test_cast_np_ndarray_np_int32_">"a"</definedName>
    <definedName name="args_test_condense_wrapper">"a"</definedName>
    <definedName name="args_test_condensed_1">"a"</definedName>
    <definedName name="args_test_create_table_from_df_multiindex_error">{"df";"table_name"}</definedName>
    <definedName name="args_test_create_table_from_df_multiindex_success1">{"df";"table_name"}</definedName>
    <definedName name="args_test_pd_create_series">"a"</definedName>
    <definedName name="args_test_pd_datetime_show">"a"</definedName>
    <definedName name="args_test_pd_mix_datetime_show">{"a";"b"}</definedName>
    <definedName name="args_test_register_function">"seed"</definedName>
    <definedName name="fname_condense">"condense"</definedName>
    <definedName name="fname_cpy">"cpy"</definedName>
    <definedName name="fname_create_dataframe_basic">"create_dataframe_basic"</definedName>
    <definedName name="fname_create_dataframe_with_datetime">"create_dataframe_with_datetime"</definedName>
    <definedName name="fname_create_dataframe_with_multiindex">"create_dataframe_with_multiindex"</definedName>
    <definedName name="fname_create_table_from_df">"create_table_from_df"</definedName>
    <definedName name="fname_deepcpy">"deepcpy"</definedName>
    <definedName name="fname_hello">"hello"</definedName>
    <definedName name="fname_list_expansion_test_bool">"list_expansion_test_bool"</definedName>
    <definedName name="fname_list_expansion_test_datetime_datetime">"list_expansion_test_datetime_datetime"</definedName>
    <definedName name="fname_list_expansion_test_float">"list_expansion_test_float"</definedName>
    <definedName name="fname_list_expansion_test_int">"list_expansion_test_int"</definedName>
    <definedName name="fname_list_expansion_test_np_datetime">"list_expansion_test_np_datetime"</definedName>
    <definedName name="fname_list_expansion_test_pyobjects">"list_expansion_test_pyobjects"</definedName>
    <definedName name="fname_pyadd">"pyadd"</definedName>
    <definedName name="fname_pydiv">"pydiv"</definedName>
    <definedName name="fname_pyeq">"pyeq"</definedName>
    <definedName name="fname_pyge">"pyge"</definedName>
    <definedName name="fname_pygetattr">"pygetattr"</definedName>
    <definedName name="fname_pygetitem">"pygetitem"</definedName>
    <definedName name="fname_pygt">"pygt"</definedName>
    <definedName name="fname_pyhash">"pyhash"</definedName>
    <definedName name="fname_pyle">"pyle"</definedName>
    <definedName name="fname_pylen">"pylen"</definedName>
    <definedName name="fname_pylt">"pylt"</definedName>
    <definedName name="fname_pymod">"pymod"</definedName>
    <definedName name="fname_pymul">"pymul"</definedName>
    <definedName name="fname_pyne">"pyne"</definedName>
    <definedName name="fname_pynot">"pynot"</definedName>
    <definedName name="fname_pypow">"pypow"</definedName>
    <definedName name="fname_pyrepr">"pyrepr"</definedName>
    <definedName name="fname_pyshape">"pyshape"</definedName>
    <definedName name="fname_pystr">"pystr"</definedName>
    <definedName name="fname_pysub">"pysub"</definedName>
    <definedName name="fname_pytype">"pytype"</definedName>
    <definedName name="fname_show">"show"</definedName>
    <definedName name="fname_show_image">"show_image"</definedName>
    <definedName name="fname_test_cast_list">"test_cast_list"</definedName>
    <definedName name="fname_test_cast_list_int_">"test_cast_list_int_"</definedName>
    <definedName name="fname_test_cast_list1d">"test_cast_list1d"</definedName>
    <definedName name="fname_test_cast_list1d_int_">"test_cast_list1d_int_"</definedName>
    <definedName name="fname_test_cast_list2d">"test_cast_list2d"</definedName>
    <definedName name="fname_test_cast_list2d_int_">"test_cast_list2d_int_"</definedName>
    <definedName name="fname_test_cast_ndarray1d">"test_cast_ndarray1d"</definedName>
    <definedName name="fname_test_cast_ndarray1d_np_datetime64_">"test_cast_ndarray1d_np_datetime64_"</definedName>
    <definedName name="fname_test_cast_ndarray1d_np_int32_">"test_cast_ndarray1d_np_int32_"</definedName>
    <definedName name="fname_test_cast_ndarray2d">"test_cast_ndarray2d"</definedName>
    <definedName name="fname_test_cast_ndarray2d_np_datetime64_">"test_cast_ndarray2d_np_datetime64_"</definedName>
    <definedName name="fname_test_cast_ndarray2d_np_datetime64_show_dt">"test_cast_ndarray2d_np_datetime64_show_dt"</definedName>
    <definedName name="fname_test_cast_ndarray2d_np_int32_">"test_cast_ndarray2d_np_int32_"</definedName>
    <definedName name="fname_test_cast_np_ndarray">"test_cast_np_ndarray"</definedName>
    <definedName name="fname_test_cast_np_ndarray_int_">"test_cast_np_ndarray_int_"</definedName>
    <definedName name="fname_test_cast_np_ndarray_np_float64_">"test_cast_np_ndarray_np_float64_"</definedName>
    <definedName name="fname_test_cast_np_ndarray_np_int32_">"test_cast_np_ndarray_np_int32_"</definedName>
    <definedName name="fname_test_condense_wrapper">"test_condense_wrapper"</definedName>
    <definedName name="fname_test_condensed_1">"test_condensed_1"</definedName>
    <definedName name="fname_test_create_table_from_df_multiindex_error">"test_create_table_from_df_multiindex_error"</definedName>
    <definedName name="fname_test_create_table_from_df_multiindex_success1">"test_create_table_from_df_multiindex_success1"</definedName>
    <definedName name="fname_test_pd_create_series">"test_pd_create_series"</definedName>
    <definedName name="fname_test_pd_datetime_show">"test_pd_datetime_show"</definedName>
    <definedName name="fname_test_pd_mix_datetime_show">"test_pd_mix_datetime_show"</definedName>
    <definedName name="fname_test_register_function">"test_register_function"</definedName>
    <definedName name="Functions">Sheet1!$B$1:$B$1014</definedName>
    <definedName name="Outputs">Sheet1!$L$1:$L$1014</definedName>
    <definedName name="pyEmpty">"pyEmpty"</definedName>
    <definedName name="pyNone">"pyNone"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4" i="1" l="1" a="1"/>
  <c r="L214" i="1" s="1"/>
  <c r="B235" i="1"/>
  <c r="B229" i="1"/>
  <c r="B224" i="1"/>
  <c r="L224" i="1" a="1"/>
  <c r="I224" i="1" a="1"/>
  <c r="L235" i="1" a="1"/>
  <c r="N99" i="1" a="1"/>
  <c r="S123" i="1" a="1"/>
  <c r="O43" i="1" a="1"/>
  <c r="N29" i="1" a="1"/>
  <c r="N55" i="1" a="1"/>
  <c r="N131" i="1" a="1"/>
  <c r="N23" i="1" a="1"/>
  <c r="N63" i="1" a="1"/>
  <c r="N21" i="1" a="1"/>
  <c r="N151" i="1" a="1"/>
  <c r="N91" i="1" a="1"/>
  <c r="N135" i="1" a="1"/>
  <c r="N111" i="1" a="1"/>
  <c r="N79" i="1" a="1"/>
  <c r="N35" i="1" a="1"/>
  <c r="M207" i="1" a="1"/>
  <c r="M208" i="1" a="1"/>
  <c r="M209" i="1" a="1"/>
  <c r="M210" i="1" a="1"/>
  <c r="M211" i="1" a="1"/>
  <c r="M212" i="1" a="1"/>
  <c r="N51" i="1" a="1"/>
  <c r="M218" i="1" a="1"/>
  <c r="N75" i="1" a="1"/>
  <c r="N13" i="1" a="1"/>
  <c r="M187" i="1" a="1"/>
  <c r="N123" i="1" a="1"/>
  <c r="M219" i="1" a="1"/>
  <c r="N67" i="1" a="1"/>
  <c r="N15" i="1" a="1"/>
  <c r="N7" i="1" a="1"/>
  <c r="N25" i="1" a="1"/>
  <c r="N43" i="1" a="1"/>
  <c r="N83" i="1" a="1"/>
  <c r="N182" i="1" a="1"/>
  <c r="M182" i="1" a="1"/>
  <c r="N71" i="1" a="1"/>
  <c r="L229" i="1" a="1"/>
  <c r="N143" i="1" a="1"/>
  <c r="N87" i="1" a="1"/>
  <c r="S119" i="1" a="1"/>
  <c r="N119" i="1" a="1"/>
  <c r="N31" i="1" a="1"/>
  <c r="M220" i="1" a="1"/>
  <c r="N27" i="1" a="1"/>
  <c r="N33" i="1" a="1"/>
  <c r="N9" i="1" a="1"/>
  <c r="N107" i="1" a="1"/>
  <c r="L17" i="1" a="1"/>
  <c r="L29" i="1" a="1"/>
  <c r="L55" i="1" a="1"/>
  <c r="L131" i="1" a="1"/>
  <c r="L99" i="1" a="1"/>
  <c r="L23" i="1" a="1"/>
  <c r="L63" i="1" a="1"/>
  <c r="L147" i="1" a="1"/>
  <c r="L127" i="1" a="1"/>
  <c r="L196" i="1" a="1"/>
  <c r="L21" i="1" a="1"/>
  <c r="S125" i="1" a="1"/>
  <c r="L151" i="1" a="1"/>
  <c r="L115" i="1" a="1"/>
  <c r="L91" i="1" a="1"/>
  <c r="L204" i="1" a="1"/>
  <c r="L135" i="1" a="1"/>
  <c r="L111" i="1" a="1"/>
  <c r="L103" i="1" a="1"/>
  <c r="L79" i="1" a="1"/>
  <c r="L35" i="1" a="1"/>
  <c r="L207" i="1" a="1"/>
  <c r="L210" i="1" a="1"/>
  <c r="L51" i="1" a="1"/>
  <c r="L218" i="1" a="1"/>
  <c r="L75" i="1" a="1"/>
  <c r="L13" i="1" a="1"/>
  <c r="L187" i="1" a="1"/>
  <c r="L123" i="1" a="1"/>
  <c r="L219" i="1" a="1"/>
  <c r="L59" i="1" a="1"/>
  <c r="L139" i="1" a="1"/>
  <c r="L67" i="1" a="1"/>
  <c r="L47" i="1" a="1"/>
  <c r="L191" i="1" a="1"/>
  <c r="L15" i="1" a="1"/>
  <c r="L7" i="1" a="1"/>
  <c r="I235" i="1" a="1"/>
  <c r="L25" i="1" a="1"/>
  <c r="L43" i="1" a="1"/>
  <c r="L83" i="1" a="1"/>
  <c r="L182" i="1" a="1"/>
  <c r="L71" i="1" a="1"/>
  <c r="L200" i="1" a="1"/>
  <c r="I229" i="1" a="1"/>
  <c r="L143" i="1" a="1"/>
  <c r="L87" i="1" a="1"/>
  <c r="L119" i="1" a="1"/>
  <c r="L31" i="1" a="1"/>
  <c r="L220" i="1" a="1"/>
  <c r="L27" i="1" a="1"/>
  <c r="L33" i="1" a="1"/>
  <c r="L9" i="1" a="1"/>
  <c r="L107" i="1" a="1"/>
  <c r="L224" i="1" l="1"/>
  <c r="I224" i="1"/>
  <c r="L235" i="1"/>
  <c r="N99" i="1"/>
  <c r="S123" i="1"/>
  <c r="O43" i="1"/>
  <c r="N29" i="1"/>
  <c r="N55" i="1"/>
  <c r="N131" i="1"/>
  <c r="N23" i="1"/>
  <c r="N63" i="1"/>
  <c r="N21" i="1"/>
  <c r="N151" i="1"/>
  <c r="N91" i="1"/>
  <c r="N135" i="1"/>
  <c r="N111" i="1"/>
  <c r="N79" i="1"/>
  <c r="N35" i="1"/>
  <c r="M207" i="1"/>
  <c r="M208" i="1"/>
  <c r="M209" i="1"/>
  <c r="M210" i="1"/>
  <c r="M211" i="1"/>
  <c r="M212" i="1"/>
  <c r="N51" i="1"/>
  <c r="M218" i="1"/>
  <c r="N75" i="1"/>
  <c r="N13" i="1"/>
  <c r="M187" i="1"/>
  <c r="N123" i="1"/>
  <c r="M219" i="1"/>
  <c r="N67" i="1"/>
  <c r="N15" i="1"/>
  <c r="N7" i="1"/>
  <c r="N25" i="1"/>
  <c r="N43" i="1"/>
  <c r="N83" i="1"/>
  <c r="N182" i="1"/>
  <c r="M182" i="1"/>
  <c r="N71" i="1"/>
  <c r="L229" i="1"/>
  <c r="N143" i="1"/>
  <c r="N87" i="1"/>
  <c r="S119" i="1"/>
  <c r="N119" i="1"/>
  <c r="N31" i="1"/>
  <c r="M220" i="1"/>
  <c r="N27" i="1"/>
  <c r="N33" i="1"/>
  <c r="N9" i="1"/>
  <c r="N107" i="1"/>
  <c r="L17" i="1"/>
  <c r="L29" i="1"/>
  <c r="L55" i="1"/>
  <c r="L131" i="1"/>
  <c r="L99" i="1"/>
  <c r="L23" i="1"/>
  <c r="L63" i="1"/>
  <c r="L147" i="1"/>
  <c r="L127" i="1"/>
  <c r="L196" i="1"/>
  <c r="L21" i="1"/>
  <c r="S125" i="1"/>
  <c r="L151" i="1"/>
  <c r="L115" i="1"/>
  <c r="L91" i="1"/>
  <c r="L204" i="1"/>
  <c r="L135" i="1"/>
  <c r="L111" i="1"/>
  <c r="L103" i="1"/>
  <c r="L79" i="1"/>
  <c r="L35" i="1"/>
  <c r="L207" i="1"/>
  <c r="L210" i="1"/>
  <c r="L51" i="1"/>
  <c r="L218" i="1"/>
  <c r="L75" i="1"/>
  <c r="L13" i="1"/>
  <c r="L187" i="1"/>
  <c r="L123" i="1"/>
  <c r="L219" i="1"/>
  <c r="L59" i="1"/>
  <c r="L139" i="1"/>
  <c r="L67" i="1"/>
  <c r="L47" i="1"/>
  <c r="L191" i="1"/>
  <c r="L15" i="1"/>
  <c r="L7" i="1"/>
  <c r="I235" i="1"/>
  <c r="L25" i="1"/>
  <c r="L43" i="1"/>
  <c r="L83" i="1"/>
  <c r="L182" i="1"/>
  <c r="L71" i="1"/>
  <c r="L200" i="1"/>
  <c r="I229" i="1"/>
  <c r="L143" i="1"/>
  <c r="L87" i="1"/>
  <c r="L119" i="1"/>
  <c r="L31" i="1"/>
  <c r="L220" i="1"/>
  <c r="L27" i="1"/>
  <c r="L33" i="1"/>
  <c r="L9" i="1"/>
  <c r="L107" i="1"/>
  <c r="H8" i="3"/>
  <c r="H7" i="3"/>
  <c r="H6" i="3"/>
  <c r="H5" i="3"/>
  <c r="H4" i="3"/>
  <c r="G8" i="3"/>
  <c r="G7" i="3"/>
  <c r="G6" i="3"/>
  <c r="G5" i="3"/>
  <c r="G4" i="3"/>
  <c r="F8" i="3"/>
  <c r="F7" i="3"/>
  <c r="F6" i="3"/>
  <c r="F5" i="3"/>
  <c r="F4" i="3"/>
  <c r="E8" i="3"/>
  <c r="E7" i="3"/>
  <c r="E6" i="3"/>
  <c r="E5" i="3"/>
  <c r="E4" i="3"/>
  <c r="E210" i="1" a="1"/>
  <c r="E210" i="1" s="1"/>
  <c r="F210" i="1" s="1"/>
  <c r="F192" i="1"/>
  <c r="F206" i="1"/>
  <c r="F205" i="1"/>
  <c r="F203" i="1"/>
  <c r="F202" i="1"/>
  <c r="F201" i="1"/>
  <c r="F199" i="1"/>
  <c r="F198" i="1"/>
  <c r="F197" i="1"/>
  <c r="F195" i="1"/>
  <c r="F194" i="1"/>
  <c r="F193" i="1"/>
  <c r="E191" i="1" a="1"/>
  <c r="E191" i="1" s="1"/>
  <c r="F191" i="1" s="1"/>
  <c r="F186" i="1"/>
  <c r="E207" i="1" a="1"/>
  <c r="E207" i="1" s="1"/>
  <c r="F207" i="1" s="1"/>
  <c r="E204" i="1" a="1"/>
  <c r="E204" i="1" s="1"/>
  <c r="F204" i="1" s="1"/>
  <c r="E200" i="1" a="1"/>
  <c r="E200" i="1" s="1"/>
  <c r="F200" i="1" s="1"/>
  <c r="E196" i="1" a="1"/>
  <c r="E196" i="1" s="1"/>
  <c r="F196" i="1" s="1"/>
  <c r="J165" i="1"/>
  <c r="I165" i="1"/>
  <c r="F182" i="1"/>
  <c r="F173" i="1"/>
  <c r="H175" i="1"/>
  <c r="H174" i="1"/>
  <c r="I169" i="1"/>
  <c r="I170" i="1"/>
  <c r="I171" i="1"/>
  <c r="J169" i="1"/>
  <c r="J170" i="1"/>
  <c r="J171" i="1"/>
  <c r="E169" i="1" a="1"/>
  <c r="E169" i="1" s="1"/>
  <c r="F169" i="1" s="1"/>
  <c r="H170" i="1"/>
  <c r="H171" i="1"/>
  <c r="H165" i="1"/>
  <c r="E161" i="1" a="1"/>
  <c r="E161" i="1" s="1"/>
  <c r="F161" i="1" s="1"/>
  <c r="J167" i="1"/>
  <c r="I167" i="1"/>
  <c r="H167" i="1"/>
  <c r="J166" i="1"/>
  <c r="I166" i="1"/>
  <c r="H166" i="1"/>
  <c r="E165" i="1" a="1"/>
  <c r="E165" i="1" s="1"/>
  <c r="F165" i="1" s="1"/>
  <c r="J163" i="1"/>
  <c r="J162" i="1"/>
  <c r="J161" i="1"/>
  <c r="I163" i="1"/>
  <c r="I162" i="1"/>
  <c r="I161" i="1"/>
  <c r="H163" i="1"/>
  <c r="H162" i="1"/>
  <c r="H159" i="1"/>
  <c r="H158" i="1"/>
  <c r="E157" i="1" a="1"/>
  <c r="E157" i="1" s="1"/>
  <c r="F157" i="1" s="1"/>
  <c r="H157" i="1"/>
  <c r="L161" i="1" a="1"/>
  <c r="L173" i="1" a="1"/>
  <c r="L165" i="1" a="1"/>
  <c r="L169" i="1" a="1"/>
  <c r="L157" i="1" a="1"/>
  <c r="L161" i="1" l="1"/>
  <c r="L173" i="1"/>
  <c r="L165" i="1"/>
  <c r="L169" i="1"/>
  <c r="L157" i="1"/>
  <c r="F150" i="1"/>
  <c r="F149" i="1"/>
  <c r="F148" i="1"/>
  <c r="F146" i="1"/>
  <c r="F145" i="1"/>
  <c r="F144" i="1"/>
  <c r="F142" i="1"/>
  <c r="F141" i="1"/>
  <c r="F140" i="1"/>
  <c r="F138" i="1"/>
  <c r="F137" i="1"/>
  <c r="F136" i="1"/>
  <c r="F134" i="1"/>
  <c r="F133" i="1"/>
  <c r="F132" i="1"/>
  <c r="F130" i="1"/>
  <c r="F129" i="1"/>
  <c r="F128" i="1"/>
  <c r="F126" i="1"/>
  <c r="F125" i="1"/>
  <c r="F124" i="1"/>
  <c r="F122" i="1"/>
  <c r="F121" i="1"/>
  <c r="F120" i="1"/>
  <c r="F118" i="1"/>
  <c r="F117" i="1"/>
  <c r="F116" i="1"/>
  <c r="F114" i="1"/>
  <c r="F113" i="1"/>
  <c r="F112" i="1"/>
  <c r="F110" i="1"/>
  <c r="F109" i="1"/>
  <c r="F108" i="1"/>
  <c r="F106" i="1"/>
  <c r="F105" i="1"/>
  <c r="F104" i="1"/>
  <c r="F102" i="1"/>
  <c r="F101" i="1"/>
  <c r="F100" i="1"/>
  <c r="F90" i="1"/>
  <c r="F89" i="1"/>
  <c r="F88" i="1"/>
  <c r="F86" i="1"/>
  <c r="F85" i="1"/>
  <c r="F84" i="1"/>
  <c r="F82" i="1"/>
  <c r="F81" i="1"/>
  <c r="F80" i="1"/>
  <c r="F78" i="1"/>
  <c r="F77" i="1"/>
  <c r="F76" i="1"/>
  <c r="F74" i="1"/>
  <c r="F73" i="1"/>
  <c r="F72" i="1"/>
  <c r="F70" i="1"/>
  <c r="F69" i="1"/>
  <c r="F68" i="1"/>
  <c r="F66" i="1"/>
  <c r="F65" i="1"/>
  <c r="F64" i="1"/>
  <c r="F62" i="1"/>
  <c r="F61" i="1"/>
  <c r="F60" i="1"/>
  <c r="F58" i="1"/>
  <c r="F57" i="1"/>
  <c r="F56" i="1"/>
  <c r="F54" i="1"/>
  <c r="F53" i="1"/>
  <c r="F52" i="1"/>
  <c r="F50" i="1"/>
  <c r="F49" i="1"/>
  <c r="F48" i="1"/>
  <c r="F46" i="1"/>
  <c r="F45" i="1"/>
  <c r="F44" i="1"/>
  <c r="F34" i="1"/>
  <c r="F32" i="1"/>
  <c r="F30" i="1"/>
  <c r="F28" i="1"/>
  <c r="F26" i="1"/>
  <c r="F24" i="1"/>
  <c r="F22" i="1"/>
  <c r="F20" i="1"/>
  <c r="F19" i="1"/>
  <c r="F18" i="1"/>
  <c r="F16" i="1"/>
  <c r="F14" i="1"/>
  <c r="F12" i="1"/>
  <c r="F11" i="1"/>
  <c r="F10" i="1"/>
  <c r="F8" i="1"/>
  <c r="B7" i="1"/>
  <c r="B9" i="1"/>
  <c r="B13" i="1"/>
  <c r="B15" i="1"/>
  <c r="B17" i="1"/>
  <c r="B21" i="1"/>
  <c r="B23" i="1"/>
  <c r="B25" i="1"/>
  <c r="B27" i="1"/>
  <c r="B29" i="1"/>
  <c r="B31" i="1"/>
  <c r="B33" i="1"/>
  <c r="B35" i="1"/>
  <c r="N161" i="1" a="1"/>
  <c r="N173" i="1" a="1"/>
  <c r="M173" i="1" a="1"/>
  <c r="N165" i="1" a="1"/>
  <c r="M165" i="1" a="1"/>
  <c r="N169" i="1" a="1"/>
  <c r="N161" i="1" l="1"/>
  <c r="N173" i="1"/>
  <c r="M173" i="1"/>
  <c r="N165" i="1"/>
  <c r="M165" i="1"/>
  <c r="N169" i="1"/>
  <c r="J145" i="1"/>
  <c r="I145" i="1"/>
  <c r="H145" i="1"/>
  <c r="E143" i="1" a="1"/>
  <c r="E143" i="1" s="1"/>
  <c r="F143" i="1" s="1"/>
  <c r="J141" i="1"/>
  <c r="I141" i="1"/>
  <c r="H141" i="1"/>
  <c r="E151" i="1" a="1"/>
  <c r="E151" i="1" s="1"/>
  <c r="E147" i="1" a="1"/>
  <c r="E147" i="1" s="1"/>
  <c r="E139" i="1" a="1"/>
  <c r="E139" i="1" s="1"/>
  <c r="E135" i="1" a="1"/>
  <c r="E135" i="1" s="1"/>
  <c r="E131" i="1" a="1"/>
  <c r="E131" i="1" s="1"/>
  <c r="E127" i="1" a="1"/>
  <c r="E127" i="1" s="1"/>
  <c r="E123" i="1" a="1"/>
  <c r="E123" i="1" s="1"/>
  <c r="E119" i="1" a="1"/>
  <c r="E119" i="1" s="1"/>
  <c r="E115" i="1" a="1"/>
  <c r="E115" i="1" s="1"/>
  <c r="E111" i="1" a="1"/>
  <c r="E111" i="1" s="1"/>
  <c r="E107" i="1" a="1"/>
  <c r="E107" i="1" s="1"/>
  <c r="E103" i="1" a="1"/>
  <c r="E103" i="1" s="1"/>
  <c r="E99" i="1" a="1"/>
  <c r="E99" i="1" s="1"/>
  <c r="B151" i="1"/>
  <c r="B147" i="1"/>
  <c r="B139" i="1"/>
  <c r="B135" i="1"/>
  <c r="B131" i="1"/>
  <c r="B127" i="1"/>
  <c r="B123" i="1"/>
  <c r="B119" i="1"/>
  <c r="B115" i="1"/>
  <c r="B111" i="1"/>
  <c r="B107" i="1"/>
  <c r="B103" i="1"/>
  <c r="B99" i="1"/>
  <c r="F131" i="1" l="1"/>
  <c r="F99" i="1"/>
  <c r="F103" i="1"/>
  <c r="F111" i="1"/>
  <c r="F115" i="1"/>
  <c r="F119" i="1"/>
  <c r="F135" i="1"/>
  <c r="F123" i="1"/>
  <c r="F139" i="1"/>
  <c r="F147" i="1"/>
  <c r="F151" i="1"/>
  <c r="F107" i="1"/>
  <c r="F127" i="1"/>
  <c r="N139" i="1" a="1"/>
  <c r="N147" i="1" a="1"/>
  <c r="N127" i="1" a="1"/>
  <c r="N139" i="1" l="1"/>
  <c r="N127" i="1"/>
  <c r="N147" i="1"/>
  <c r="E91" i="1" a="1"/>
  <c r="E91" i="1" s="1"/>
  <c r="E87" i="1" a="1"/>
  <c r="E87" i="1" s="1"/>
  <c r="E83" i="1" a="1"/>
  <c r="E83" i="1" s="1"/>
  <c r="E79" i="1" a="1"/>
  <c r="E79" i="1" s="1"/>
  <c r="E75" i="1" a="1"/>
  <c r="E75" i="1" s="1"/>
  <c r="E71" i="1" a="1"/>
  <c r="E71" i="1" s="1"/>
  <c r="E67" i="1" a="1"/>
  <c r="E67" i="1" s="1"/>
  <c r="E63" i="1" a="1"/>
  <c r="E63" i="1" s="1"/>
  <c r="E59" i="1" a="1"/>
  <c r="E59" i="1" s="1"/>
  <c r="E55" i="1" a="1"/>
  <c r="E55" i="1" s="1"/>
  <c r="E51" i="1" a="1"/>
  <c r="E51" i="1" s="1"/>
  <c r="E47" i="1" a="1"/>
  <c r="E47" i="1" s="1"/>
  <c r="E43" i="1" a="1"/>
  <c r="E43" i="1" s="1"/>
  <c r="B91" i="1"/>
  <c r="B87" i="1"/>
  <c r="B83" i="1"/>
  <c r="B79" i="1"/>
  <c r="B75" i="1"/>
  <c r="B71" i="1"/>
  <c r="B67" i="1"/>
  <c r="B63" i="1"/>
  <c r="B59" i="1"/>
  <c r="B55" i="1"/>
  <c r="B51" i="1"/>
  <c r="B47" i="1"/>
  <c r="B43" i="1"/>
  <c r="E35" i="1"/>
  <c r="F35" i="1" s="1"/>
  <c r="E33" i="1"/>
  <c r="F33" i="1" s="1"/>
  <c r="E31" i="1"/>
  <c r="F31" i="1" s="1"/>
  <c r="E29" i="1"/>
  <c r="F29" i="1" s="1"/>
  <c r="E27" i="1"/>
  <c r="F27" i="1" s="1"/>
  <c r="E25" i="1"/>
  <c r="F25" i="1" s="1"/>
  <c r="E23" i="1"/>
  <c r="F23" i="1" s="1"/>
  <c r="E21" i="1"/>
  <c r="F21" i="1" s="1"/>
  <c r="E17" i="1"/>
  <c r="F17" i="1" s="1"/>
  <c r="E15" i="1"/>
  <c r="F15" i="1" s="1"/>
  <c r="E13" i="1"/>
  <c r="F13" i="1" s="1"/>
  <c r="E9" i="1"/>
  <c r="F9" i="1" s="1"/>
  <c r="E7" i="1"/>
  <c r="F7" i="1" s="1"/>
  <c r="F83" i="1" l="1"/>
  <c r="F47" i="1"/>
  <c r="F63" i="1"/>
  <c r="F71" i="1"/>
  <c r="F75" i="1"/>
  <c r="F59" i="1"/>
  <c r="F67" i="1"/>
  <c r="F79" i="1"/>
  <c r="F51" i="1"/>
  <c r="F55" i="1"/>
  <c r="F87" i="1"/>
  <c r="F43" i="1"/>
  <c r="F9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<sst xmlns="http://schemas.openxmlformats.org/spreadsheetml/2006/main" count="340" uniqueCount="66">
  <si>
    <t>list</t>
  </si>
  <si>
    <t>list1d</t>
  </si>
  <si>
    <t>list2d</t>
  </si>
  <si>
    <t>list1d[int]</t>
  </si>
  <si>
    <t>list2d[int]</t>
  </si>
  <si>
    <t>np.ndarray</t>
  </si>
  <si>
    <t>list[int]</t>
  </si>
  <si>
    <t>np.ndarray[int]</t>
  </si>
  <si>
    <t>np.ndarray[np.int32]</t>
  </si>
  <si>
    <t>ndarray1d</t>
  </si>
  <si>
    <t>ndarray2d</t>
  </si>
  <si>
    <t>ndarray1d[np.int32]</t>
  </si>
  <si>
    <t>ndarray2d[np.int32]</t>
  </si>
  <si>
    <t xml:space="preserve"> </t>
  </si>
  <si>
    <t>Input</t>
  </si>
  <si>
    <t>Function Name</t>
  </si>
  <si>
    <t>Output</t>
  </si>
  <si>
    <t>Helpers</t>
  </si>
  <si>
    <t>Show</t>
  </si>
  <si>
    <t>Casting - Row Vector</t>
  </si>
  <si>
    <t>Casting - Column Vector</t>
  </si>
  <si>
    <t>Casting - Matrix</t>
  </si>
  <si>
    <t>test_cast_np_ndarray_np_float64_</t>
  </si>
  <si>
    <t>np.ndarray[np.float64]</t>
  </si>
  <si>
    <t>TEST</t>
  </si>
  <si>
    <t>Datetimes</t>
  </si>
  <si>
    <t>ndarray1d[np.datetime64]</t>
  </si>
  <si>
    <t>test_cast_ndarray1d_np_datetime64_</t>
  </si>
  <si>
    <t>ndarray2d[np.datetime64]</t>
  </si>
  <si>
    <t>test_cast_ndarray2d_np_datetime64_</t>
  </si>
  <si>
    <t>test_cast_ndarray2d_np_datetime64_show_dt</t>
  </si>
  <si>
    <t>test_pd_datetime_show</t>
  </si>
  <si>
    <t>N/A</t>
  </si>
  <si>
    <t>Comment</t>
  </si>
  <si>
    <t>Benchmark</t>
  </si>
  <si>
    <t>Pass</t>
  </si>
  <si>
    <t>test_pd_create_series</t>
  </si>
  <si>
    <t>test_pd_mix_datetime_show</t>
  </si>
  <si>
    <t>Error expected</t>
  </si>
  <si>
    <t>Error expected, numpy defauly behaviour</t>
  </si>
  <si>
    <t>lists are naturally expanded, so a n by 1 is n, 1-long lists</t>
  </si>
  <si>
    <t>test_condensed_1</t>
  </si>
  <si>
    <t>The user must use the xlproCollapsedType wrapper to prevent a list being naturally expanded</t>
  </si>
  <si>
    <t>Test list expanding</t>
  </si>
  <si>
    <t>lists are natively expanded</t>
  </si>
  <si>
    <t>list_expansion_test_int</t>
  </si>
  <si>
    <t>list_expansion_test_float</t>
  </si>
  <si>
    <t>list_expansion_test_bool</t>
  </si>
  <si>
    <t>list_expansion_test_datetime_datetime</t>
  </si>
  <si>
    <t>list_expansion_test_pyobjects</t>
  </si>
  <si>
    <t>list_expansion_test_np_datetime</t>
  </si>
  <si>
    <t>np.datetime64 is natively supported for showing</t>
  </si>
  <si>
    <t>test_ignore_function</t>
  </si>
  <si>
    <t>Should see a #name error as tge fybctuib dies bit reguster in vba</t>
  </si>
  <si>
    <t>create_dataframe_basic</t>
  </si>
  <si>
    <t>create_dataframe_with_datetime</t>
  </si>
  <si>
    <t>create_dataframe_with_multiindex</t>
  </si>
  <si>
    <t>df</t>
  </si>
  <si>
    <t>tname</t>
  </si>
  <si>
    <t>mytbl1</t>
  </si>
  <si>
    <t>seed</t>
  </si>
  <si>
    <t>mytbl2</t>
  </si>
  <si>
    <t>foo.A.1</t>
  </si>
  <si>
    <t>foo.B.2</t>
  </si>
  <si>
    <t>bar.C.3</t>
  </si>
  <si>
    <t>mytabl3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</si>
</sst>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/>
    <xf numFmtId="0" fontId="0" fillId="0" borderId="0" xfId="0" applyFont="1" applyBorder="1"/>
    <xf numFmtId="14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3E1E06-E4AE-49E6-B0E9-59AFC9056B0A}" name="mytbl1" displayName="mytbl1" ref="N224:P227" totalsRowShown="0">
  <autoFilter ref="N224:P227" xr:uid="{443E1E06-E4AE-49E6-B0E9-59AFC9056B0A}"/>
  <tableColumns count="3">
    <tableColumn id="1" xr3:uid="{88B24515-D950-4935-B002-568AA3FB58D6}" name="foo.A.1"/>
    <tableColumn id="2" xr3:uid="{96248194-62AB-47BB-87F7-999F0E3EFB6F}" name="foo.B.2"/>
    <tableColumn id="3" xr3:uid="{D9224C43-4C5A-4EEF-B3A1-71CC0BB06B45}" name="bar.C.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60E3F6-7781-4A59-9B64-A6586C670128}" name="mytbl2" displayName="mytbl2" ref="N229:P232" totalsRowShown="0">
  <autoFilter ref="N229:P232" xr:uid="{B160E3F6-7781-4A59-9B64-A6586C670128}"/>
  <tableColumns count="3">
    <tableColumn id="1" xr3:uid="{00247C0B-52BC-47F9-AC78-609C5B94DB06}" name="foo.A.1"/>
    <tableColumn id="2" xr3:uid="{59F38ED6-66F3-4056-8D47-854105EBCE29}" name="foo.B.2"/>
    <tableColumn id="3" xr3:uid="{EDB8D854-5BFD-4C88-8EE3-6A70C86260EE}" name="bar.C.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0B9C-9115-4C96-A35C-E460CBE20B47}">
  <sheetPr codeName="Sheet1"/>
  <dimension ref="B2:X235"/>
  <sheetViews>
    <sheetView tabSelected="1" topLeftCell="A173" zoomScale="70" zoomScaleNormal="70" workbookViewId="0">
      <selection activeCell="B229" sqref="B229"/>
    </sheetView>
  </sheetViews>
  <sheetFormatPr defaultRowHeight="15" x14ac:dyDescent="0.25"/>
  <cols>
    <col min="2" max="2" width="41.140625" customWidth="1"/>
    <col min="3" max="3" width="4.7109375" style="4" customWidth="1"/>
    <col min="4" max="4" width="20.42578125" customWidth="1"/>
    <col min="5" max="5" width="8.7109375" customWidth="1"/>
    <col min="6" max="6" width="79.140625" customWidth="1"/>
    <col min="7" max="11" width="4.7109375" customWidth="1"/>
    <col min="12" max="12" width="88.28515625" customWidth="1"/>
    <col min="13" max="13" width="25.7109375" customWidth="1"/>
    <col min="14" max="14" width="12.85546875" customWidth="1"/>
    <col min="15" max="16" width="12.7109375" customWidth="1"/>
    <col min="20" max="20" width="19" customWidth="1"/>
  </cols>
  <sheetData>
    <row r="2" spans="2:24" x14ac:dyDescent="0.25">
      <c r="B2" t="s">
        <v>24</v>
      </c>
    </row>
    <row r="3" spans="2:24" x14ac:dyDescent="0.25">
      <c r="B3" s="1" t="s">
        <v>19</v>
      </c>
    </row>
    <row r="4" spans="2:24" x14ac:dyDescent="0.25">
      <c r="M4" t="s">
        <v>13</v>
      </c>
    </row>
    <row r="5" spans="2:24" x14ac:dyDescent="0.25">
      <c r="B5" s="3" t="s">
        <v>15</v>
      </c>
      <c r="C5" s="5"/>
      <c r="D5" s="3" t="s">
        <v>17</v>
      </c>
      <c r="E5" s="2"/>
      <c r="F5" s="2"/>
      <c r="H5" s="3" t="s">
        <v>14</v>
      </c>
      <c r="I5" s="2"/>
      <c r="J5" s="2"/>
      <c r="L5" s="3" t="s">
        <v>16</v>
      </c>
      <c r="M5" t="s">
        <v>13</v>
      </c>
      <c r="N5" s="3" t="s">
        <v>18</v>
      </c>
      <c r="S5" s="3" t="s">
        <v>33</v>
      </c>
      <c r="X5" s="3"/>
    </row>
    <row r="6" spans="2:24" x14ac:dyDescent="0.25">
      <c r="M6" t="s">
        <v>13</v>
      </c>
    </row>
    <row r="7" spans="2:24" x14ac:dyDescent="0.25">
      <c r="B7" t="str">
        <f>"test_cast_" &amp; _xlfn.REGEXREPLACE(D7, "[\[\]\.]", "_")</f>
        <v>test_cast_list</v>
      </c>
      <c r="D7" t="s">
        <v>0</v>
      </c>
      <c r="E7" t="str">
        <f>"f" &amp; ROW(F7) &amp; ":h" &amp; ROW(F7)</f>
        <v>f7:h7</v>
      </c>
      <c r="F7" t="str">
        <f>IF(LEN(B7) &lt;&gt; 0, "=" &amp; B7 &amp; "(" &amp; "(" &amp; E7 &amp; "))", "$$$$")</f>
        <v>=test_cast_list((f7:h7))</v>
      </c>
      <c r="G7" t="s">
        <v>13</v>
      </c>
      <c r="H7">
        <v>1.1000000000000001</v>
      </c>
      <c r="I7">
        <v>2.1</v>
      </c>
      <c r="J7">
        <v>3.1</v>
      </c>
      <c r="L7" t="str" cm="1">
        <f t="array" ref="L7">test_cast_list(H7:J7)</f>
        <v>PyObj&lt;Sheet1$L$7bb66ba1a98eb6c30007f928b095e635a31ab3ac516dd03a016445f4a35bc0482&gt;_0</v>
      </c>
      <c r="M7" t="s">
        <v>13</v>
      </c>
      <c r="N7" cm="1">
        <f t="array" ref="N7:P7">show(L7)</f>
        <v>1.1000000000000001</v>
      </c>
      <c r="O7">
        <v>2.1</v>
      </c>
      <c r="P7">
        <v>3.1</v>
      </c>
    </row>
    <row r="8" spans="2:24" x14ac:dyDescent="0.25">
      <c r="F8" t="str">
        <f t="shared" ref="F8:F35" si="0">IF(LEN(B8) &lt;&gt; 0, "=" &amp; B8 &amp; "(" &amp; "(" &amp; E8 &amp; "))", "$$$$")</f>
        <v>$$$$</v>
      </c>
      <c r="G8" t="s">
        <v>13</v>
      </c>
      <c r="M8" t="s">
        <v>13</v>
      </c>
    </row>
    <row r="9" spans="2:24" x14ac:dyDescent="0.25">
      <c r="B9" t="str">
        <f>"test_cast_" &amp; _xlfn.REGEXREPLACE(D9, "[\[\]\.]", "_")</f>
        <v>test_cast_list1d</v>
      </c>
      <c r="D9" t="s">
        <v>1</v>
      </c>
      <c r="E9" t="str">
        <f>"f" &amp; ROW(F9) &amp; ":h" &amp; ROW(F9)</f>
        <v>f9:h9</v>
      </c>
      <c r="F9" t="str">
        <f t="shared" si="0"/>
        <v>=test_cast_list1d((f9:h9))</v>
      </c>
      <c r="G9" t="s">
        <v>13</v>
      </c>
      <c r="H9">
        <v>1.1000000000000001</v>
      </c>
      <c r="I9">
        <v>2.1</v>
      </c>
      <c r="J9">
        <v>3.1</v>
      </c>
      <c r="L9" cm="1">
        <f t="array" ref="L9:L11">test_cast_list1d(H9:J9)</f>
        <v>1.1000000000000001</v>
      </c>
      <c r="M9" t="s">
        <v>13</v>
      </c>
      <c r="N9" cm="1">
        <f t="array" ref="N9">show(L9)</f>
        <v>1.1000000000000001</v>
      </c>
    </row>
    <row r="10" spans="2:24" x14ac:dyDescent="0.25">
      <c r="F10" t="str">
        <f t="shared" si="0"/>
        <v>$$$$</v>
      </c>
      <c r="G10" t="s">
        <v>13</v>
      </c>
      <c r="L10">
        <v>2.1</v>
      </c>
      <c r="M10" t="s">
        <v>13</v>
      </c>
    </row>
    <row r="11" spans="2:24" x14ac:dyDescent="0.25">
      <c r="F11" t="str">
        <f t="shared" si="0"/>
        <v>$$$$</v>
      </c>
      <c r="G11" t="s">
        <v>13</v>
      </c>
      <c r="L11">
        <v>3.1</v>
      </c>
      <c r="M11" t="s">
        <v>13</v>
      </c>
    </row>
    <row r="12" spans="2:24" x14ac:dyDescent="0.25">
      <c r="F12" t="str">
        <f t="shared" si="0"/>
        <v>$$$$</v>
      </c>
      <c r="G12" t="s">
        <v>13</v>
      </c>
      <c r="M12" t="s">
        <v>13</v>
      </c>
    </row>
    <row r="13" spans="2:24" x14ac:dyDescent="0.25">
      <c r="B13" t="str">
        <f>"test_cast_" &amp; _xlfn.REGEXREPLACE(D13, "[\[\]\.]", "_")</f>
        <v>test_cast_list2d</v>
      </c>
      <c r="D13" t="s">
        <v>2</v>
      </c>
      <c r="E13" t="str">
        <f t="shared" ref="E13:E17" si="1">"f" &amp; ROW(F13) &amp; ":h" &amp; ROW(F13)</f>
        <v>f13:h13</v>
      </c>
      <c r="F13" t="str">
        <f t="shared" si="0"/>
        <v>=test_cast_list2d((f13:h13))</v>
      </c>
      <c r="G13" t="s">
        <v>13</v>
      </c>
      <c r="H13">
        <v>1.1000000000000001</v>
      </c>
      <c r="I13">
        <v>2.1</v>
      </c>
      <c r="J13">
        <v>3.1</v>
      </c>
      <c r="L13" t="str" cm="1">
        <f t="array" ref="L13">test_cast_list2d(H13:J13)</f>
        <v>PyObj&lt;Sheet1$L$135685c83306e0530060f72dd77956a716d90e3eb7539ec1e72af9d805c673cf51&gt;_0</v>
      </c>
      <c r="M13" t="s">
        <v>13</v>
      </c>
      <c r="N13" cm="1">
        <f t="array" ref="N13:P13">show(L13)</f>
        <v>1.1000000000000001</v>
      </c>
      <c r="O13">
        <v>2.1</v>
      </c>
      <c r="P13">
        <v>3.1</v>
      </c>
    </row>
    <row r="14" spans="2:24" x14ac:dyDescent="0.25">
      <c r="F14" t="str">
        <f t="shared" si="0"/>
        <v>$$$$</v>
      </c>
      <c r="G14" t="s">
        <v>13</v>
      </c>
      <c r="M14" t="s">
        <v>13</v>
      </c>
    </row>
    <row r="15" spans="2:24" x14ac:dyDescent="0.25">
      <c r="B15" t="str">
        <f>"test_cast_" &amp; _xlfn.REGEXREPLACE(D15, "[\[\]\.]", "_")</f>
        <v>test_cast_list_int_</v>
      </c>
      <c r="D15" t="s">
        <v>6</v>
      </c>
      <c r="E15" t="str">
        <f t="shared" si="1"/>
        <v>f15:h15</v>
      </c>
      <c r="F15" t="str">
        <f t="shared" si="0"/>
        <v>=test_cast_list_int_((f15:h15))</v>
      </c>
      <c r="G15" t="s">
        <v>13</v>
      </c>
      <c r="H15">
        <v>1.1000000000000001</v>
      </c>
      <c r="I15">
        <v>2.1</v>
      </c>
      <c r="J15">
        <v>3.1</v>
      </c>
      <c r="L15" t="str" cm="1">
        <f t="array" ref="L15">test_cast_list_int_(H15:J15)</f>
        <v>PyObj&lt;Sheet1$L$1515d27fb7dc7ccd822246c4c5ef10944c8613e8235099b9b9dea090a5b0a5bba9&gt;_0</v>
      </c>
      <c r="M15" t="s">
        <v>13</v>
      </c>
      <c r="N15" cm="1">
        <f t="array" ref="N15:P15">show(L15)</f>
        <v>1</v>
      </c>
      <c r="O15">
        <v>2</v>
      </c>
      <c r="P15">
        <v>3</v>
      </c>
    </row>
    <row r="16" spans="2:24" x14ac:dyDescent="0.25">
      <c r="F16" t="str">
        <f t="shared" si="0"/>
        <v>$$$$</v>
      </c>
      <c r="G16" t="s">
        <v>13</v>
      </c>
      <c r="M16" t="s">
        <v>13</v>
      </c>
    </row>
    <row r="17" spans="2:16" x14ac:dyDescent="0.25">
      <c r="B17" t="str">
        <f>"test_cast_" &amp; _xlfn.REGEXREPLACE(D17, "[\[\]\.]", "_")</f>
        <v>test_cast_list1d_int_</v>
      </c>
      <c r="D17" t="s">
        <v>3</v>
      </c>
      <c r="E17" t="str">
        <f t="shared" si="1"/>
        <v>f17:h17</v>
      </c>
      <c r="F17" t="str">
        <f t="shared" si="0"/>
        <v>=test_cast_list1d_int_((f17:h17))</v>
      </c>
      <c r="G17" t="s">
        <v>13</v>
      </c>
      <c r="H17">
        <v>1.1000000000000001</v>
      </c>
      <c r="I17">
        <v>2.1</v>
      </c>
      <c r="J17">
        <v>3.1</v>
      </c>
      <c r="L17" cm="1">
        <f t="array" ref="L17:L19">test_cast_list1d_int_(H17:J17)</f>
        <v>1</v>
      </c>
      <c r="M17" t="s">
        <v>13</v>
      </c>
    </row>
    <row r="18" spans="2:16" x14ac:dyDescent="0.25">
      <c r="F18" t="str">
        <f t="shared" si="0"/>
        <v>$$$$</v>
      </c>
      <c r="G18" t="s">
        <v>13</v>
      </c>
      <c r="L18">
        <v>2</v>
      </c>
      <c r="M18" t="s">
        <v>13</v>
      </c>
    </row>
    <row r="19" spans="2:16" x14ac:dyDescent="0.25">
      <c r="F19" t="str">
        <f t="shared" si="0"/>
        <v>$$$$</v>
      </c>
      <c r="G19" t="s">
        <v>13</v>
      </c>
      <c r="L19">
        <v>3</v>
      </c>
      <c r="M19" t="s">
        <v>13</v>
      </c>
    </row>
    <row r="20" spans="2:16" x14ac:dyDescent="0.25">
      <c r="F20" t="str">
        <f t="shared" si="0"/>
        <v>$$$$</v>
      </c>
      <c r="G20" t="s">
        <v>13</v>
      </c>
      <c r="M20" t="s">
        <v>13</v>
      </c>
    </row>
    <row r="21" spans="2:16" x14ac:dyDescent="0.25">
      <c r="B21" t="str">
        <f>"test_cast_" &amp; _xlfn.REGEXREPLACE(D21, "[\[\]\.]", "_")</f>
        <v>test_cast_list2d_int_</v>
      </c>
      <c r="D21" t="s">
        <v>4</v>
      </c>
      <c r="E21" t="str">
        <f t="shared" ref="E21:E35" si="2">"f" &amp; ROW(F21) &amp; ":h" &amp; ROW(F21)</f>
        <v>f21:h21</v>
      </c>
      <c r="F21" t="str">
        <f t="shared" si="0"/>
        <v>=test_cast_list2d_int_((f21:h21))</v>
      </c>
      <c r="G21" t="s">
        <v>13</v>
      </c>
      <c r="H21">
        <v>1.1000000000000001</v>
      </c>
      <c r="I21">
        <v>2.1</v>
      </c>
      <c r="J21">
        <v>3.1</v>
      </c>
      <c r="L21" t="str" cm="1">
        <f t="array" ref="L21">test_cast_list2d_int_(H21:J21)</f>
        <v>PyObj&lt;Sheet1$L$2137fedc30e21950a77bb742cf5523119ebb22e741d06205d7fa7eb772c177d70b&gt;_0</v>
      </c>
      <c r="M21" t="s">
        <v>13</v>
      </c>
      <c r="N21" cm="1">
        <f t="array" ref="N21:P21">show(L21)</f>
        <v>1</v>
      </c>
      <c r="O21">
        <v>2</v>
      </c>
      <c r="P21">
        <v>3</v>
      </c>
    </row>
    <row r="22" spans="2:16" x14ac:dyDescent="0.25">
      <c r="F22" t="str">
        <f t="shared" si="0"/>
        <v>$$$$</v>
      </c>
      <c r="G22" t="s">
        <v>13</v>
      </c>
      <c r="M22" t="s">
        <v>13</v>
      </c>
    </row>
    <row r="23" spans="2:16" x14ac:dyDescent="0.25">
      <c r="B23" t="str">
        <f>"test_cast_" &amp; _xlfn.REGEXREPLACE(D23, "[\[\]\.]", "_")</f>
        <v>test_cast_np_ndarray</v>
      </c>
      <c r="D23" t="s">
        <v>5</v>
      </c>
      <c r="E23" t="str">
        <f t="shared" si="2"/>
        <v>f23:h23</v>
      </c>
      <c r="F23" t="str">
        <f t="shared" si="0"/>
        <v>=test_cast_np_ndarray((f23:h23))</v>
      </c>
      <c r="G23" t="s">
        <v>13</v>
      </c>
      <c r="H23">
        <v>1.2</v>
      </c>
      <c r="I23">
        <v>2.1</v>
      </c>
      <c r="J23">
        <v>3.1</v>
      </c>
      <c r="L23" t="str" cm="1">
        <f t="array" ref="L23">test_cast_np_ndarray(H23:J23)</f>
        <v>PyObj&lt;Sheet1$L$23ebf5cdf43061d51575e5e2ba4f9a77ff3366c7de9bcc5cbe92a6de5141801905&gt;</v>
      </c>
      <c r="M23" t="s">
        <v>13</v>
      </c>
      <c r="N23" cm="1">
        <f t="array" ref="N23:P23">show(L23)</f>
        <v>1.2</v>
      </c>
      <c r="O23">
        <v>2.1</v>
      </c>
      <c r="P23">
        <v>3.1</v>
      </c>
    </row>
    <row r="24" spans="2:16" x14ac:dyDescent="0.25">
      <c r="F24" t="str">
        <f t="shared" si="0"/>
        <v>$$$$</v>
      </c>
      <c r="G24" t="s">
        <v>13</v>
      </c>
      <c r="M24" t="s">
        <v>13</v>
      </c>
    </row>
    <row r="25" spans="2:16" x14ac:dyDescent="0.25">
      <c r="B25" t="str">
        <f>"test_cast_" &amp; _xlfn.REGEXREPLACE(D25, "[\[\]\.]", "_")</f>
        <v>test_cast_ndarray1d</v>
      </c>
      <c r="D25" t="s">
        <v>9</v>
      </c>
      <c r="E25" t="str">
        <f t="shared" si="2"/>
        <v>f25:h25</v>
      </c>
      <c r="F25" t="str">
        <f t="shared" si="0"/>
        <v>=test_cast_ndarray1d((f25:h25))</v>
      </c>
      <c r="G25" t="s">
        <v>13</v>
      </c>
      <c r="H25">
        <v>1.1000000000000001</v>
      </c>
      <c r="I25">
        <v>2.1</v>
      </c>
      <c r="J25">
        <v>3.1</v>
      </c>
      <c r="L25" t="str" cm="1">
        <f t="array" ref="L25">test_cast_ndarray1d(H25:J25)</f>
        <v>PyObj&lt;Sheet1$L$25763f31ba6630b2b0c462d83a4fd460d99c2b6c2d50e6395f308936e39a35be8b&gt;</v>
      </c>
      <c r="M25" t="s">
        <v>13</v>
      </c>
      <c r="N25" t="e" cm="1" vm="1">
        <f t="array" aca="1" ref="N25" ca="1">show(L25)</f>
        <v>#VALUE!</v>
      </c>
    </row>
    <row r="26" spans="2:16" x14ac:dyDescent="0.25">
      <c r="F26" t="str">
        <f t="shared" si="0"/>
        <v>$$$$</v>
      </c>
      <c r="G26" t="s">
        <v>13</v>
      </c>
      <c r="M26" t="s">
        <v>13</v>
      </c>
    </row>
    <row r="27" spans="2:16" x14ac:dyDescent="0.25">
      <c r="B27" t="str">
        <f>"test_cast_" &amp; _xlfn.REGEXREPLACE(D27, "[\[\]\.]", "_")</f>
        <v>test_cast_ndarray2d</v>
      </c>
      <c r="D27" t="s">
        <v>10</v>
      </c>
      <c r="E27" t="str">
        <f t="shared" si="2"/>
        <v>f27:h27</v>
      </c>
      <c r="F27" t="str">
        <f t="shared" si="0"/>
        <v>=test_cast_ndarray2d((f27:h27))</v>
      </c>
      <c r="G27" t="s">
        <v>13</v>
      </c>
      <c r="H27">
        <v>1.1000000000000001</v>
      </c>
      <c r="I27">
        <v>2.1</v>
      </c>
      <c r="J27">
        <v>3.1</v>
      </c>
      <c r="L27" t="str" cm="1">
        <f t="array" ref="L27">test_cast_ndarray2d(H27:J27)</f>
        <v>PyObj&lt;Sheet1$L$272db5a42e763155cecdfa2baa624f3625e12fe07d716b92aa5b5c71f0084e94be&gt;</v>
      </c>
      <c r="M27" t="s">
        <v>13</v>
      </c>
      <c r="N27" cm="1">
        <f t="array" ref="N27:P27">show(L27)</f>
        <v>1.1000000000000001</v>
      </c>
      <c r="O27">
        <v>2.1</v>
      </c>
      <c r="P27">
        <v>3.1</v>
      </c>
    </row>
    <row r="28" spans="2:16" x14ac:dyDescent="0.25">
      <c r="F28" t="str">
        <f t="shared" si="0"/>
        <v>$$$$</v>
      </c>
      <c r="G28" t="s">
        <v>13</v>
      </c>
      <c r="M28" t="s">
        <v>13</v>
      </c>
    </row>
    <row r="29" spans="2:16" x14ac:dyDescent="0.25">
      <c r="B29" t="str">
        <f>"test_cast_" &amp; _xlfn.REGEXREPLACE(D29, "[\[\]\.]", "_")</f>
        <v>test_cast_np_ndarray_int_</v>
      </c>
      <c r="D29" t="s">
        <v>7</v>
      </c>
      <c r="E29" t="str">
        <f t="shared" si="2"/>
        <v>f29:h29</v>
      </c>
      <c r="F29" t="str">
        <f t="shared" si="0"/>
        <v>=test_cast_np_ndarray_int_((f29:h29))</v>
      </c>
      <c r="G29" t="s">
        <v>13</v>
      </c>
      <c r="H29">
        <v>1.1000000000000001</v>
      </c>
      <c r="I29">
        <v>2.1</v>
      </c>
      <c r="J29">
        <v>3.1</v>
      </c>
      <c r="L29" t="str" cm="1">
        <f t="array" ref="L29">test_cast_np_ndarray_int_(H29:J29)</f>
        <v>PyObj&lt;Sheet1$L$2995fec16100e7bfa31fd6bb471ab5dc759378e82c2c4b4a602f26d28fd750839a&gt;</v>
      </c>
      <c r="M29" t="s">
        <v>13</v>
      </c>
      <c r="N29" cm="1">
        <f t="array" ref="N29:P29">show(L29)</f>
        <v>1</v>
      </c>
      <c r="O29">
        <v>2</v>
      </c>
      <c r="P29">
        <v>3</v>
      </c>
    </row>
    <row r="30" spans="2:16" x14ac:dyDescent="0.25">
      <c r="F30" t="str">
        <f t="shared" si="0"/>
        <v>$$$$</v>
      </c>
      <c r="G30" t="s">
        <v>13</v>
      </c>
      <c r="M30" t="s">
        <v>13</v>
      </c>
    </row>
    <row r="31" spans="2:16" x14ac:dyDescent="0.25">
      <c r="B31" t="str">
        <f>"test_cast_" &amp; _xlfn.REGEXREPLACE(D31, "[\[\]\.]", "_")</f>
        <v>test_cast_np_ndarray_np_int32_</v>
      </c>
      <c r="D31" t="s">
        <v>8</v>
      </c>
      <c r="E31" t="str">
        <f t="shared" si="2"/>
        <v>f31:h31</v>
      </c>
      <c r="F31" t="str">
        <f t="shared" si="0"/>
        <v>=test_cast_np_ndarray_np_int32_((f31:h31))</v>
      </c>
      <c r="G31" t="s">
        <v>13</v>
      </c>
      <c r="H31">
        <v>1.1000000000000001</v>
      </c>
      <c r="I31">
        <v>2.1</v>
      </c>
      <c r="J31">
        <v>3.1</v>
      </c>
      <c r="L31" t="str" cm="1">
        <f t="array" ref="L31">test_cast_np_ndarray_np_int32_(H31:J31)</f>
        <v>PyObj&lt;Sheet1$L$3117a9d052ff70dd360e668368eb072bae3d39e5a79720a7dddf3ee3ba9578f99d&gt;</v>
      </c>
      <c r="M31" t="s">
        <v>13</v>
      </c>
      <c r="N31" cm="1">
        <f t="array" ref="N31:P31">show(L31)</f>
        <v>1</v>
      </c>
      <c r="O31">
        <v>2</v>
      </c>
      <c r="P31">
        <v>3</v>
      </c>
    </row>
    <row r="32" spans="2:16" x14ac:dyDescent="0.25">
      <c r="F32" t="str">
        <f t="shared" si="0"/>
        <v>$$$$</v>
      </c>
      <c r="G32" t="s">
        <v>13</v>
      </c>
      <c r="M32" t="s">
        <v>13</v>
      </c>
    </row>
    <row r="33" spans="2:19" x14ac:dyDescent="0.25">
      <c r="B33" t="str">
        <f>"test_cast_" &amp; _xlfn.REGEXREPLACE(D33, "[\[\]\.]", "_")</f>
        <v>test_cast_ndarray1d_np_int32_</v>
      </c>
      <c r="D33" t="s">
        <v>11</v>
      </c>
      <c r="E33" t="str">
        <f t="shared" si="2"/>
        <v>f33:h33</v>
      </c>
      <c r="F33" t="str">
        <f t="shared" si="0"/>
        <v>=test_cast_ndarray1d_np_int32_((f33:h33))</v>
      </c>
      <c r="G33" t="s">
        <v>13</v>
      </c>
      <c r="H33">
        <v>1.1000000000000001</v>
      </c>
      <c r="I33">
        <v>2.1</v>
      </c>
      <c r="J33">
        <v>3.1</v>
      </c>
      <c r="L33" t="str" cm="1">
        <f t="array" ref="L33">test_cast_ndarray1d_np_int32_(H33:J33)</f>
        <v>PyObj&lt;Sheet1$L$33d89655976a7a05197416fb7ab80538c1c9c8bffb05335782656d1a3446db66c9&gt;</v>
      </c>
      <c r="M33" t="s">
        <v>13</v>
      </c>
      <c r="N33" t="e" cm="1" vm="1">
        <f t="array" aca="1" ref="N33" ca="1">show(L33)</f>
        <v>#VALUE!</v>
      </c>
    </row>
    <row r="34" spans="2:19" x14ac:dyDescent="0.25">
      <c r="F34" t="str">
        <f t="shared" si="0"/>
        <v>$$$$</v>
      </c>
      <c r="G34" t="s">
        <v>13</v>
      </c>
      <c r="M34" t="s">
        <v>13</v>
      </c>
    </row>
    <row r="35" spans="2:19" x14ac:dyDescent="0.25">
      <c r="B35" t="str">
        <f>"test_cast_" &amp; _xlfn.REGEXREPLACE(D35, "[\[\]\.]", "_")</f>
        <v>test_cast_ndarray2d_np_int32_</v>
      </c>
      <c r="D35" t="s">
        <v>12</v>
      </c>
      <c r="E35" t="str">
        <f t="shared" si="2"/>
        <v>f35:h35</v>
      </c>
      <c r="F35" t="str">
        <f t="shared" si="0"/>
        <v>=test_cast_ndarray2d_np_int32_((f35:h35))</v>
      </c>
      <c r="G35" t="s">
        <v>13</v>
      </c>
      <c r="H35">
        <v>1.1000000000000001</v>
      </c>
      <c r="I35">
        <v>2.1</v>
      </c>
      <c r="J35">
        <v>3.1</v>
      </c>
      <c r="L35" t="str" cm="1">
        <f t="array" ref="L35">test_cast_ndarray2d_np_int32_(H35:J35)</f>
        <v>PyObj&lt;Sheet1$L$357ac64f4df8fe92d2675e8bdab515c6a85ffd1065eb641bb94734ac09611aa90b&gt;</v>
      </c>
      <c r="M35" t="s">
        <v>13</v>
      </c>
      <c r="N35" cm="1">
        <f t="array" ref="N35:P35">show(L35)</f>
        <v>1</v>
      </c>
      <c r="O35">
        <v>2</v>
      </c>
      <c r="P35">
        <v>3</v>
      </c>
    </row>
    <row r="36" spans="2:19" x14ac:dyDescent="0.25">
      <c r="M36" t="s">
        <v>13</v>
      </c>
    </row>
    <row r="37" spans="2:19" x14ac:dyDescent="0.25">
      <c r="M37" t="s">
        <v>13</v>
      </c>
    </row>
    <row r="38" spans="2:19" x14ac:dyDescent="0.25">
      <c r="M38" t="s">
        <v>13</v>
      </c>
    </row>
    <row r="39" spans="2:19" x14ac:dyDescent="0.25">
      <c r="B39" s="1" t="s">
        <v>20</v>
      </c>
      <c r="M39" t="s">
        <v>13</v>
      </c>
    </row>
    <row r="40" spans="2:19" x14ac:dyDescent="0.25">
      <c r="M40" t="s">
        <v>13</v>
      </c>
    </row>
    <row r="41" spans="2:19" x14ac:dyDescent="0.25">
      <c r="B41" s="3" t="s">
        <v>15</v>
      </c>
      <c r="C41" s="5"/>
      <c r="D41" s="3" t="s">
        <v>17</v>
      </c>
      <c r="E41" s="2"/>
      <c r="F41" s="2"/>
      <c r="H41" s="3" t="s">
        <v>14</v>
      </c>
      <c r="I41" s="2"/>
      <c r="J41" s="2"/>
      <c r="L41" s="3" t="s">
        <v>16</v>
      </c>
      <c r="M41" t="s">
        <v>13</v>
      </c>
      <c r="N41" s="3" t="s">
        <v>18</v>
      </c>
    </row>
    <row r="42" spans="2:19" x14ac:dyDescent="0.25">
      <c r="M42" t="s">
        <v>13</v>
      </c>
    </row>
    <row r="43" spans="2:19" x14ac:dyDescent="0.25">
      <c r="B43" t="str">
        <f>"test_cast_" &amp; _xlfn.REGEXREPLACE(D43, "[\[\]\.]", "_")</f>
        <v>test_cast_list</v>
      </c>
      <c r="D43" t="s">
        <v>0</v>
      </c>
      <c r="E43" t="str" cm="1">
        <f t="array" aca="1" ref="E43" ca="1">CELL("address", H43) &amp; ":" &amp; CELL("address", H45)</f>
        <v>$H$43:$H$45</v>
      </c>
      <c r="F43" t="str">
        <f t="shared" ref="F43:F91" ca="1" si="3">IF(LEN(B43) &lt;&gt; 0, "=" &amp; B43 &amp; "(" &amp; "(" &amp; E43 &amp; "))", "$$$$")</f>
        <v>=test_cast_list(($H$43:$H$45))</v>
      </c>
      <c r="G43" t="s">
        <v>13</v>
      </c>
      <c r="H43">
        <v>14</v>
      </c>
      <c r="I43">
        <v>5</v>
      </c>
      <c r="L43" t="str" cm="1">
        <f t="array" ref="L43:L45">test_cast_list(($H$43:$I$45))</f>
        <v>PyObj&lt;Sheet1$L$43a2593fdee15e89e6af8d146cd94444b88121886c2e062725e635c08d86890ea5&gt;_0</v>
      </c>
      <c r="N43" t="str" cm="1">
        <f t="array" ref="N43">condense(_xlfn.ANCHORARRAY(L43))</f>
        <v>PyObj&lt;Sheet1$N$43a055a63b6895f80a6be83f3099425962fc948b7795e985aea1119af10f669bd9&gt;</v>
      </c>
      <c r="O43" t="str" cm="1">
        <f t="array" ref="O43">pytype(N43)</f>
        <v>&lt;class 'list'&gt;</v>
      </c>
      <c r="S43" t="s">
        <v>40</v>
      </c>
    </row>
    <row r="44" spans="2:19" x14ac:dyDescent="0.25">
      <c r="F44" t="str">
        <f t="shared" si="3"/>
        <v>$$$$</v>
      </c>
      <c r="H44">
        <v>2.1</v>
      </c>
      <c r="I44">
        <v>5</v>
      </c>
      <c r="L44" t="str">
        <v>PyObj&lt;Sheet1$L$43a2593fdee15e89e6af8d146cd94444b88121886c2e062725e635c08d86890ea5&gt;_1</v>
      </c>
    </row>
    <row r="45" spans="2:19" x14ac:dyDescent="0.25">
      <c r="F45" t="str">
        <f t="shared" si="3"/>
        <v>$$$$</v>
      </c>
      <c r="H45">
        <v>3.1</v>
      </c>
      <c r="I45">
        <v>6</v>
      </c>
      <c r="L45" t="str">
        <v>PyObj&lt;Sheet1$L$43a2593fdee15e89e6af8d146cd94444b88121886c2e062725e635c08d86890ea5&gt;_2</v>
      </c>
    </row>
    <row r="46" spans="2:19" x14ac:dyDescent="0.25">
      <c r="F46" t="str">
        <f t="shared" si="3"/>
        <v>$$$$</v>
      </c>
      <c r="G46" t="s">
        <v>13</v>
      </c>
      <c r="M46" t="s">
        <v>13</v>
      </c>
    </row>
    <row r="47" spans="2:19" x14ac:dyDescent="0.25">
      <c r="B47" t="str">
        <f t="shared" ref="B47" si="4">"test_cast_" &amp; _xlfn.REGEXREPLACE(D47, "[\[\]\.]", "_")</f>
        <v>test_cast_list1d</v>
      </c>
      <c r="D47" t="s">
        <v>1</v>
      </c>
      <c r="E47" t="str" cm="1">
        <f t="array" aca="1" ref="E47" ca="1">CELL("address", H47) &amp; ":" &amp; CELL("address", H49)</f>
        <v>$H$47:$H$49</v>
      </c>
      <c r="F47" t="str">
        <f t="shared" ca="1" si="3"/>
        <v>=test_cast_list1d(($H$47:$H$49))</v>
      </c>
      <c r="G47" t="s">
        <v>13</v>
      </c>
      <c r="H47">
        <v>1.1000000000000001</v>
      </c>
      <c r="L47" cm="1">
        <f t="array" ref="L47:L49">test_cast_list1d(($H$47:$H$49))</f>
        <v>1.1000000000000001</v>
      </c>
      <c r="M47" t="s">
        <v>13</v>
      </c>
    </row>
    <row r="48" spans="2:19" x14ac:dyDescent="0.25">
      <c r="F48" t="str">
        <f t="shared" si="3"/>
        <v>$$$$</v>
      </c>
      <c r="H48">
        <v>2.1</v>
      </c>
      <c r="L48">
        <v>2.1</v>
      </c>
      <c r="M48" t="s">
        <v>13</v>
      </c>
    </row>
    <row r="49" spans="2:14" x14ac:dyDescent="0.25">
      <c r="F49" t="str">
        <f t="shared" si="3"/>
        <v>$$$$</v>
      </c>
      <c r="H49">
        <v>3.1</v>
      </c>
      <c r="L49">
        <v>3.1</v>
      </c>
      <c r="M49" t="s">
        <v>13</v>
      </c>
    </row>
    <row r="50" spans="2:14" x14ac:dyDescent="0.25">
      <c r="F50" t="str">
        <f t="shared" si="3"/>
        <v>$$$$</v>
      </c>
      <c r="G50" t="s">
        <v>13</v>
      </c>
      <c r="M50" t="s">
        <v>13</v>
      </c>
    </row>
    <row r="51" spans="2:14" x14ac:dyDescent="0.25">
      <c r="B51" t="str">
        <f t="shared" ref="B51" si="5">"test_cast_" &amp; _xlfn.REGEXREPLACE(D51, "[\[\]\.]", "_")</f>
        <v>test_cast_list2d</v>
      </c>
      <c r="D51" t="s">
        <v>2</v>
      </c>
      <c r="E51" t="str" cm="1">
        <f t="array" aca="1" ref="E51" ca="1">CELL("address", H51) &amp; ":" &amp; CELL("address", H53)</f>
        <v>$H$51:$H$53</v>
      </c>
      <c r="F51" t="str">
        <f t="shared" ca="1" si="3"/>
        <v>=test_cast_list2d(($H$51:$H$53))</v>
      </c>
      <c r="G51" t="s">
        <v>13</v>
      </c>
      <c r="H51">
        <v>1.1000000000000001</v>
      </c>
      <c r="L51" t="str" cm="1">
        <f t="array" ref="L51:L53">test_cast_list2d(($H$51:$H$53))</f>
        <v>PyObj&lt;Sheet1$L$5127cff5117f09d616a4857c0e391f612ae2551348948a640dc42c80b3efe204dd&gt;_0</v>
      </c>
      <c r="M51" t="s">
        <v>13</v>
      </c>
      <c r="N51" cm="1">
        <f t="array" ref="N51">show(L51)</f>
        <v>1.1000000000000001</v>
      </c>
    </row>
    <row r="52" spans="2:14" x14ac:dyDescent="0.25">
      <c r="F52" t="str">
        <f t="shared" si="3"/>
        <v>$$$$</v>
      </c>
      <c r="H52">
        <v>2.1</v>
      </c>
      <c r="L52" t="str">
        <v>PyObj&lt;Sheet1$L$5127cff5117f09d616a4857c0e391f612ae2551348948a640dc42c80b3efe204dd&gt;_1</v>
      </c>
      <c r="M52" t="s">
        <v>13</v>
      </c>
    </row>
    <row r="53" spans="2:14" x14ac:dyDescent="0.25">
      <c r="F53" t="str">
        <f t="shared" si="3"/>
        <v>$$$$</v>
      </c>
      <c r="H53">
        <v>3.1</v>
      </c>
      <c r="L53" t="str">
        <v>PyObj&lt;Sheet1$L$5127cff5117f09d616a4857c0e391f612ae2551348948a640dc42c80b3efe204dd&gt;_2</v>
      </c>
      <c r="M53" t="s">
        <v>13</v>
      </c>
    </row>
    <row r="54" spans="2:14" x14ac:dyDescent="0.25">
      <c r="F54" t="str">
        <f t="shared" si="3"/>
        <v>$$$$</v>
      </c>
      <c r="G54" t="s">
        <v>13</v>
      </c>
      <c r="M54" t="s">
        <v>13</v>
      </c>
    </row>
    <row r="55" spans="2:14" x14ac:dyDescent="0.25">
      <c r="B55" t="str">
        <f t="shared" ref="B55" si="6">"test_cast_" &amp; _xlfn.REGEXREPLACE(D55, "[\[\]\.]", "_")</f>
        <v>test_cast_list_int_</v>
      </c>
      <c r="D55" t="s">
        <v>6</v>
      </c>
      <c r="E55" t="str" cm="1">
        <f t="array" aca="1" ref="E55" ca="1">CELL("address", H55) &amp; ":" &amp; CELL("address", H57)</f>
        <v>$H$55:$H$57</v>
      </c>
      <c r="F55" t="str">
        <f t="shared" ca="1" si="3"/>
        <v>=test_cast_list_int_(($H$55:$H$57))</v>
      </c>
      <c r="G55" t="s">
        <v>13</v>
      </c>
      <c r="H55">
        <v>1.1000000000000001</v>
      </c>
      <c r="L55" t="str" cm="1">
        <f t="array" ref="L55:L57">test_cast_list_int_(($H$55:$H$57))</f>
        <v>PyObj&lt;Sheet1$L$55dedbd11f5e30abc033e94c66e5ac8ba3e3b52ab7fc8085aae4c292df0268f8e6&gt;_0</v>
      </c>
      <c r="M55" t="s">
        <v>13</v>
      </c>
      <c r="N55" cm="1">
        <f t="array" ref="N55">show(L55)</f>
        <v>1</v>
      </c>
    </row>
    <row r="56" spans="2:14" x14ac:dyDescent="0.25">
      <c r="F56" t="str">
        <f t="shared" si="3"/>
        <v>$$$$</v>
      </c>
      <c r="H56">
        <v>2.1</v>
      </c>
      <c r="L56" t="str">
        <v>PyObj&lt;Sheet1$L$55dedbd11f5e30abc033e94c66e5ac8ba3e3b52ab7fc8085aae4c292df0268f8e6&gt;_1</v>
      </c>
      <c r="M56" t="s">
        <v>13</v>
      </c>
    </row>
    <row r="57" spans="2:14" x14ac:dyDescent="0.25">
      <c r="F57" t="str">
        <f t="shared" si="3"/>
        <v>$$$$</v>
      </c>
      <c r="H57">
        <v>3.1</v>
      </c>
      <c r="L57" t="str">
        <v>PyObj&lt;Sheet1$L$55dedbd11f5e30abc033e94c66e5ac8ba3e3b52ab7fc8085aae4c292df0268f8e6&gt;_2</v>
      </c>
      <c r="M57" t="s">
        <v>13</v>
      </c>
    </row>
    <row r="58" spans="2:14" x14ac:dyDescent="0.25">
      <c r="F58" t="str">
        <f t="shared" si="3"/>
        <v>$$$$</v>
      </c>
      <c r="G58" t="s">
        <v>13</v>
      </c>
      <c r="M58" t="s">
        <v>13</v>
      </c>
    </row>
    <row r="59" spans="2:14" x14ac:dyDescent="0.25">
      <c r="B59" t="str">
        <f t="shared" ref="B59" si="7">"test_cast_" &amp; _xlfn.REGEXREPLACE(D59, "[\[\]\.]", "_")</f>
        <v>test_cast_list1d_int_</v>
      </c>
      <c r="D59" t="s">
        <v>3</v>
      </c>
      <c r="E59" t="str" cm="1">
        <f t="array" aca="1" ref="E59" ca="1">CELL("address", H59) &amp; ":" &amp; CELL("address", H61)</f>
        <v>$H$59:$H$61</v>
      </c>
      <c r="F59" t="str">
        <f t="shared" ca="1" si="3"/>
        <v>=test_cast_list1d_int_(($H$59:$H$61))</v>
      </c>
      <c r="G59" t="s">
        <v>13</v>
      </c>
      <c r="H59">
        <v>1.1000000000000001</v>
      </c>
      <c r="L59" cm="1">
        <f t="array" ref="L59:L61">test_cast_list1d_int_(($H$59:$H$61))</f>
        <v>1</v>
      </c>
      <c r="M59" t="s">
        <v>13</v>
      </c>
    </row>
    <row r="60" spans="2:14" x14ac:dyDescent="0.25">
      <c r="F60" t="str">
        <f t="shared" si="3"/>
        <v>$$$$</v>
      </c>
      <c r="G60" t="s">
        <v>13</v>
      </c>
      <c r="H60">
        <v>2.1</v>
      </c>
      <c r="L60">
        <v>2</v>
      </c>
      <c r="M60" t="s">
        <v>13</v>
      </c>
    </row>
    <row r="61" spans="2:14" x14ac:dyDescent="0.25">
      <c r="F61" t="str">
        <f t="shared" si="3"/>
        <v>$$$$</v>
      </c>
      <c r="G61" t="s">
        <v>13</v>
      </c>
      <c r="H61">
        <v>3.1</v>
      </c>
      <c r="L61">
        <v>3</v>
      </c>
      <c r="M61" t="s">
        <v>13</v>
      </c>
    </row>
    <row r="62" spans="2:14" x14ac:dyDescent="0.25">
      <c r="F62" t="str">
        <f t="shared" si="3"/>
        <v>$$$$</v>
      </c>
      <c r="G62" t="s">
        <v>13</v>
      </c>
      <c r="M62" t="s">
        <v>13</v>
      </c>
    </row>
    <row r="63" spans="2:14" x14ac:dyDescent="0.25">
      <c r="B63" t="str">
        <f t="shared" ref="B63" si="8">"test_cast_" &amp; _xlfn.REGEXREPLACE(D63, "[\[\]\.]", "_")</f>
        <v>test_cast_list2d_int_</v>
      </c>
      <c r="D63" t="s">
        <v>4</v>
      </c>
      <c r="E63" t="str" cm="1">
        <f t="array" aca="1" ref="E63" ca="1">CELL("address", H63) &amp; ":" &amp; CELL("address", H65)</f>
        <v>$H$63:$H$65</v>
      </c>
      <c r="F63" t="str">
        <f t="shared" ca="1" si="3"/>
        <v>=test_cast_list2d_int_(($H$63:$H$65))</v>
      </c>
      <c r="G63" t="s">
        <v>13</v>
      </c>
      <c r="H63">
        <v>1.1000000000000001</v>
      </c>
      <c r="L63" t="str" cm="1">
        <f t="array" ref="L63:L65">test_cast_list2d_int_(($H$63:$H$65))</f>
        <v>PyObj&lt;Sheet1$L$639677305a6f152e3471dba061d846095ebcc939de25da03657862546715a2ced0&gt;_0</v>
      </c>
      <c r="M63" t="s">
        <v>13</v>
      </c>
      <c r="N63" cm="1">
        <f t="array" ref="N63">show(L63)</f>
        <v>1</v>
      </c>
    </row>
    <row r="64" spans="2:14" x14ac:dyDescent="0.25">
      <c r="F64" t="str">
        <f t="shared" si="3"/>
        <v>$$$$</v>
      </c>
      <c r="H64">
        <v>2.1</v>
      </c>
      <c r="L64" t="str">
        <v>PyObj&lt;Sheet1$L$639677305a6f152e3471dba061d846095ebcc939de25da03657862546715a2ced0&gt;_1</v>
      </c>
      <c r="M64" t="s">
        <v>13</v>
      </c>
    </row>
    <row r="65" spans="2:14" x14ac:dyDescent="0.25">
      <c r="F65" t="str">
        <f t="shared" si="3"/>
        <v>$$$$</v>
      </c>
      <c r="H65">
        <v>3.1</v>
      </c>
      <c r="L65" t="str">
        <v>PyObj&lt;Sheet1$L$639677305a6f152e3471dba061d846095ebcc939de25da03657862546715a2ced0&gt;_2</v>
      </c>
      <c r="M65" t="s">
        <v>13</v>
      </c>
    </row>
    <row r="66" spans="2:14" x14ac:dyDescent="0.25">
      <c r="F66" t="str">
        <f t="shared" si="3"/>
        <v>$$$$</v>
      </c>
      <c r="G66" t="s">
        <v>13</v>
      </c>
      <c r="M66" t="s">
        <v>13</v>
      </c>
    </row>
    <row r="67" spans="2:14" x14ac:dyDescent="0.25">
      <c r="B67" t="str">
        <f t="shared" ref="B67" si="9">"test_cast_" &amp; _xlfn.REGEXREPLACE(D67, "[\[\]\.]", "_")</f>
        <v>test_cast_np_ndarray</v>
      </c>
      <c r="D67" t="s">
        <v>5</v>
      </c>
      <c r="E67" t="str" cm="1">
        <f t="array" aca="1" ref="E67" ca="1">CELL("address", H67) &amp; ":" &amp; CELL("address", H69)</f>
        <v>$H$67:$H$69</v>
      </c>
      <c r="F67" t="str">
        <f t="shared" ca="1" si="3"/>
        <v>=test_cast_np_ndarray(($H$67:$H$69))</v>
      </c>
      <c r="G67" t="s">
        <v>13</v>
      </c>
      <c r="H67">
        <v>1.1000000000000001</v>
      </c>
      <c r="L67" t="str" cm="1">
        <f t="array" ref="L67">test_cast_np_ndarray(($H$67:$H$69))</f>
        <v>PyObj&lt;Sheet1$L$671f8ffd4643dc7dd2763ba7a03ebd1b9455f0e80b7ed029b5e6985aa8eff29d98&gt;</v>
      </c>
      <c r="M67" t="s">
        <v>13</v>
      </c>
      <c r="N67" cm="1">
        <f t="array" ref="N67:N69">show(L67)</f>
        <v>1.1000000000000001</v>
      </c>
    </row>
    <row r="68" spans="2:14" x14ac:dyDescent="0.25">
      <c r="F68" t="str">
        <f t="shared" si="3"/>
        <v>$$$$</v>
      </c>
      <c r="H68">
        <v>2.1</v>
      </c>
      <c r="M68" t="s">
        <v>13</v>
      </c>
      <c r="N68">
        <v>2.1</v>
      </c>
    </row>
    <row r="69" spans="2:14" x14ac:dyDescent="0.25">
      <c r="F69" t="str">
        <f t="shared" si="3"/>
        <v>$$$$</v>
      </c>
      <c r="H69">
        <v>3.1</v>
      </c>
      <c r="M69" t="s">
        <v>13</v>
      </c>
      <c r="N69">
        <v>3.1</v>
      </c>
    </row>
    <row r="70" spans="2:14" x14ac:dyDescent="0.25">
      <c r="F70" t="str">
        <f t="shared" si="3"/>
        <v>$$$$</v>
      </c>
      <c r="G70" t="s">
        <v>13</v>
      </c>
      <c r="M70" t="s">
        <v>13</v>
      </c>
    </row>
    <row r="71" spans="2:14" x14ac:dyDescent="0.25">
      <c r="B71" t="str">
        <f t="shared" ref="B71" si="10">"test_cast_" &amp; _xlfn.REGEXREPLACE(D71, "[\[\]\.]", "_")</f>
        <v>test_cast_ndarray1d</v>
      </c>
      <c r="D71" t="s">
        <v>9</v>
      </c>
      <c r="E71" t="str" cm="1">
        <f t="array" aca="1" ref="E71" ca="1">CELL("address", H71) &amp; ":" &amp; CELL("address", H73)</f>
        <v>$H$71:$H$73</v>
      </c>
      <c r="F71" t="str">
        <f t="shared" ca="1" si="3"/>
        <v>=test_cast_ndarray1d(($H$71:$H$73))</v>
      </c>
      <c r="G71" t="s">
        <v>13</v>
      </c>
      <c r="H71">
        <v>1.1000000000000001</v>
      </c>
      <c r="L71" t="str" cm="1">
        <f t="array" ref="L71">test_cast_ndarray1d(($H$71:$H$73))</f>
        <v>PyObj&lt;Sheet1$L$713ed06a8f303fe014ae6c8b16486a5ec5cc3fede8b8c0362183f1c2a4c1007ac9&gt;</v>
      </c>
      <c r="M71" t="s">
        <v>13</v>
      </c>
      <c r="N71" cm="1">
        <f t="array" ref="N71:N73">show(L71)</f>
        <v>1.1000000000000001</v>
      </c>
    </row>
    <row r="72" spans="2:14" x14ac:dyDescent="0.25">
      <c r="F72" t="str">
        <f t="shared" si="3"/>
        <v>$$$$</v>
      </c>
      <c r="H72">
        <v>2.1</v>
      </c>
      <c r="M72" t="s">
        <v>13</v>
      </c>
      <c r="N72">
        <v>2.1</v>
      </c>
    </row>
    <row r="73" spans="2:14" x14ac:dyDescent="0.25">
      <c r="F73" t="str">
        <f t="shared" si="3"/>
        <v>$$$$</v>
      </c>
      <c r="H73">
        <v>3.1</v>
      </c>
      <c r="M73" t="s">
        <v>13</v>
      </c>
      <c r="N73">
        <v>3.1</v>
      </c>
    </row>
    <row r="74" spans="2:14" x14ac:dyDescent="0.25">
      <c r="F74" t="str">
        <f t="shared" si="3"/>
        <v>$$$$</v>
      </c>
      <c r="G74" t="s">
        <v>13</v>
      </c>
      <c r="M74" t="s">
        <v>13</v>
      </c>
    </row>
    <row r="75" spans="2:14" x14ac:dyDescent="0.25">
      <c r="B75" t="str">
        <f t="shared" ref="B75" si="11">"test_cast_" &amp; _xlfn.REGEXREPLACE(D75, "[\[\]\.]", "_")</f>
        <v>test_cast_ndarray2d</v>
      </c>
      <c r="D75" t="s">
        <v>10</v>
      </c>
      <c r="E75" t="str" cm="1">
        <f t="array" aca="1" ref="E75" ca="1">CELL("address", H75) &amp; ":" &amp; CELL("address", H77)</f>
        <v>$H$75:$H$77</v>
      </c>
      <c r="F75" t="str">
        <f t="shared" ca="1" si="3"/>
        <v>=test_cast_ndarray2d(($H$75:$H$77))</v>
      </c>
      <c r="G75" t="s">
        <v>13</v>
      </c>
      <c r="H75">
        <v>1.1000000000000001</v>
      </c>
      <c r="L75" t="str" cm="1">
        <f t="array" ref="L75">test_cast_ndarray2d(($H$75:$H$77))</f>
        <v>PyObj&lt;Sheet1$L$75d11bdd4aaf0ebba02a135bac0c06b48c1bb3c8b31ba6bf57478705d5899c6cdd&gt;</v>
      </c>
      <c r="M75" t="s">
        <v>13</v>
      </c>
      <c r="N75" cm="1">
        <f t="array" ref="N75:N77">show(L75)</f>
        <v>1.1000000000000001</v>
      </c>
    </row>
    <row r="76" spans="2:14" x14ac:dyDescent="0.25">
      <c r="F76" t="str">
        <f t="shared" si="3"/>
        <v>$$$$</v>
      </c>
      <c r="H76">
        <v>2.1</v>
      </c>
      <c r="M76" t="s">
        <v>13</v>
      </c>
      <c r="N76">
        <v>2.1</v>
      </c>
    </row>
    <row r="77" spans="2:14" x14ac:dyDescent="0.25">
      <c r="F77" t="str">
        <f t="shared" si="3"/>
        <v>$$$$</v>
      </c>
      <c r="H77">
        <v>3.1</v>
      </c>
      <c r="M77" t="s">
        <v>13</v>
      </c>
      <c r="N77">
        <v>3.1</v>
      </c>
    </row>
    <row r="78" spans="2:14" x14ac:dyDescent="0.25">
      <c r="F78" t="str">
        <f t="shared" si="3"/>
        <v>$$$$</v>
      </c>
      <c r="G78" t="s">
        <v>13</v>
      </c>
      <c r="M78" t="s">
        <v>13</v>
      </c>
    </row>
    <row r="79" spans="2:14" x14ac:dyDescent="0.25">
      <c r="B79" t="str">
        <f t="shared" ref="B79" si="12">"test_cast_" &amp; _xlfn.REGEXREPLACE(D79, "[\[\]\.]", "_")</f>
        <v>test_cast_np_ndarray_int_</v>
      </c>
      <c r="D79" t="s">
        <v>7</v>
      </c>
      <c r="E79" t="str" cm="1">
        <f t="array" aca="1" ref="E79" ca="1">CELL("address", H79) &amp; ":" &amp; CELL("address", H81)</f>
        <v>$H$79:$H$81</v>
      </c>
      <c r="F79" t="str">
        <f t="shared" ca="1" si="3"/>
        <v>=test_cast_np_ndarray_int_(($H$79:$H$81))</v>
      </c>
      <c r="G79" t="s">
        <v>13</v>
      </c>
      <c r="H79">
        <v>1.1000000000000001</v>
      </c>
      <c r="L79" t="str" cm="1">
        <f t="array" ref="L79">test_cast_np_ndarray_int_(($H$79:$H$81))</f>
        <v>PyObj&lt;Sheet1$L$79d2ab95db6de89e9abec626c34ad53e719ae672de820e4ee8bf7378fed639f6f2&gt;</v>
      </c>
      <c r="M79" t="s">
        <v>13</v>
      </c>
      <c r="N79" cm="1">
        <f t="array" ref="N79:N81">show(L79)</f>
        <v>1</v>
      </c>
    </row>
    <row r="80" spans="2:14" x14ac:dyDescent="0.25">
      <c r="F80" t="str">
        <f t="shared" si="3"/>
        <v>$$$$</v>
      </c>
      <c r="H80">
        <v>2.1</v>
      </c>
      <c r="M80" t="s">
        <v>13</v>
      </c>
      <c r="N80">
        <v>2</v>
      </c>
    </row>
    <row r="81" spans="2:14" x14ac:dyDescent="0.25">
      <c r="F81" t="str">
        <f t="shared" si="3"/>
        <v>$$$$</v>
      </c>
      <c r="H81">
        <v>3.1</v>
      </c>
      <c r="M81" t="s">
        <v>13</v>
      </c>
      <c r="N81">
        <v>3</v>
      </c>
    </row>
    <row r="82" spans="2:14" x14ac:dyDescent="0.25">
      <c r="F82" t="str">
        <f t="shared" si="3"/>
        <v>$$$$</v>
      </c>
      <c r="G82" t="s">
        <v>13</v>
      </c>
      <c r="M82" t="s">
        <v>13</v>
      </c>
    </row>
    <row r="83" spans="2:14" x14ac:dyDescent="0.25">
      <c r="B83" t="str">
        <f t="shared" ref="B83" si="13">"test_cast_" &amp; _xlfn.REGEXREPLACE(D83, "[\[\]\.]", "_")</f>
        <v>test_cast_np_ndarray_np_int32_</v>
      </c>
      <c r="D83" t="s">
        <v>8</v>
      </c>
      <c r="E83" t="str" cm="1">
        <f t="array" aca="1" ref="E83" ca="1">CELL("address", H83) &amp; ":" &amp; CELL("address", H85)</f>
        <v>$H$83:$H$85</v>
      </c>
      <c r="F83" t="str">
        <f t="shared" ca="1" si="3"/>
        <v>=test_cast_np_ndarray_np_int32_(($H$83:$H$85))</v>
      </c>
      <c r="G83" t="s">
        <v>13</v>
      </c>
      <c r="H83">
        <v>1.1000000000000001</v>
      </c>
      <c r="L83" t="str" cm="1">
        <f t="array" ref="L83">test_cast_np_ndarray_np_int32_(($H$83:$H$85))</f>
        <v>PyObj&lt;Sheet1$L$8378508312fda144659d4a042c75e5dd4ae8294b0f50ba7c8c9add340101089a96&gt;</v>
      </c>
      <c r="M83" t="s">
        <v>13</v>
      </c>
      <c r="N83" cm="1">
        <f t="array" ref="N83:N85">show(L83)</f>
        <v>1</v>
      </c>
    </row>
    <row r="84" spans="2:14" x14ac:dyDescent="0.25">
      <c r="F84" t="str">
        <f t="shared" si="3"/>
        <v>$$$$</v>
      </c>
      <c r="H84">
        <v>2.1</v>
      </c>
      <c r="M84" t="s">
        <v>13</v>
      </c>
      <c r="N84">
        <v>2</v>
      </c>
    </row>
    <row r="85" spans="2:14" x14ac:dyDescent="0.25">
      <c r="F85" t="str">
        <f t="shared" si="3"/>
        <v>$$$$</v>
      </c>
      <c r="H85">
        <v>3.1</v>
      </c>
      <c r="M85" t="s">
        <v>13</v>
      </c>
      <c r="N85">
        <v>3</v>
      </c>
    </row>
    <row r="86" spans="2:14" x14ac:dyDescent="0.25">
      <c r="F86" t="str">
        <f t="shared" si="3"/>
        <v>$$$$</v>
      </c>
      <c r="G86" t="s">
        <v>13</v>
      </c>
      <c r="M86" t="s">
        <v>13</v>
      </c>
    </row>
    <row r="87" spans="2:14" x14ac:dyDescent="0.25">
      <c r="B87" t="str">
        <f t="shared" ref="B87" si="14">"test_cast_" &amp; _xlfn.REGEXREPLACE(D87, "[\[\]\.]", "_")</f>
        <v>test_cast_ndarray1d_np_int32_</v>
      </c>
      <c r="D87" t="s">
        <v>11</v>
      </c>
      <c r="E87" t="str" cm="1">
        <f t="array" aca="1" ref="E87" ca="1">CELL("address", H87) &amp; ":" &amp; CELL("address", H89)</f>
        <v>$H$87:$H$89</v>
      </c>
      <c r="F87" t="str">
        <f t="shared" ca="1" si="3"/>
        <v>=test_cast_ndarray1d_np_int32_(($H$87:$H$89))</v>
      </c>
      <c r="G87" t="s">
        <v>13</v>
      </c>
      <c r="H87">
        <v>1.1000000000000001</v>
      </c>
      <c r="L87" t="str" cm="1">
        <f t="array" ref="L87">test_cast_ndarray1d_np_int32_(($H$87:$H$89))</f>
        <v>PyObj&lt;Sheet1$L$875715241af07242fb37b885f0223263f6972299ef4ee800b3ebab2f41f11fb1f5&gt;</v>
      </c>
      <c r="M87" t="s">
        <v>13</v>
      </c>
      <c r="N87" cm="1">
        <f t="array" ref="N87:N89">show(L87)</f>
        <v>1</v>
      </c>
    </row>
    <row r="88" spans="2:14" x14ac:dyDescent="0.25">
      <c r="F88" t="str">
        <f t="shared" si="3"/>
        <v>$$$$</v>
      </c>
      <c r="H88">
        <v>2.1</v>
      </c>
      <c r="M88" t="s">
        <v>13</v>
      </c>
      <c r="N88">
        <v>2</v>
      </c>
    </row>
    <row r="89" spans="2:14" x14ac:dyDescent="0.25">
      <c r="F89" t="str">
        <f t="shared" si="3"/>
        <v>$$$$</v>
      </c>
      <c r="H89">
        <v>3.1</v>
      </c>
      <c r="M89" t="s">
        <v>13</v>
      </c>
      <c r="N89">
        <v>3</v>
      </c>
    </row>
    <row r="90" spans="2:14" x14ac:dyDescent="0.25">
      <c r="F90" t="str">
        <f t="shared" si="3"/>
        <v>$$$$</v>
      </c>
      <c r="G90" t="s">
        <v>13</v>
      </c>
      <c r="M90" t="s">
        <v>13</v>
      </c>
    </row>
    <row r="91" spans="2:14" x14ac:dyDescent="0.25">
      <c r="B91" t="str">
        <f t="shared" ref="B91" si="15">"test_cast_" &amp; _xlfn.REGEXREPLACE(D91, "[\[\]\.]", "_")</f>
        <v>test_cast_ndarray2d_np_int32_</v>
      </c>
      <c r="D91" t="s">
        <v>12</v>
      </c>
      <c r="E91" t="str" cm="1">
        <f t="array" aca="1" ref="E91" ca="1">CELL("address", H91) &amp; ":" &amp; CELL("address", H93)</f>
        <v>$H$91:$H$93</v>
      </c>
      <c r="F91" t="str">
        <f t="shared" ca="1" si="3"/>
        <v>=test_cast_ndarray2d_np_int32_(($H$91:$H$93))</v>
      </c>
      <c r="G91" t="s">
        <v>13</v>
      </c>
      <c r="H91">
        <v>1.1000000000000001</v>
      </c>
      <c r="L91" t="str" cm="1">
        <f t="array" ref="L91">test_cast_ndarray2d_np_int32_(($H$91:$H$93))</f>
        <v>PyObj&lt;Sheet1$L$91536a04b8373525030a6db72c528751f4bec7685798003339729f6dd176abb79b&gt;</v>
      </c>
      <c r="M91" t="s">
        <v>13</v>
      </c>
      <c r="N91" cm="1">
        <f t="array" ref="N91:N93">show(L91)</f>
        <v>1</v>
      </c>
    </row>
    <row r="92" spans="2:14" x14ac:dyDescent="0.25">
      <c r="H92">
        <v>2.1</v>
      </c>
      <c r="M92" t="s">
        <v>13</v>
      </c>
      <c r="N92">
        <v>2</v>
      </c>
    </row>
    <row r="93" spans="2:14" x14ac:dyDescent="0.25">
      <c r="H93">
        <v>3.1</v>
      </c>
      <c r="M93" t="s">
        <v>13</v>
      </c>
      <c r="N93">
        <v>3</v>
      </c>
    </row>
    <row r="94" spans="2:14" x14ac:dyDescent="0.25">
      <c r="M94" t="s">
        <v>13</v>
      </c>
    </row>
    <row r="95" spans="2:14" x14ac:dyDescent="0.25">
      <c r="B95" s="1" t="s">
        <v>21</v>
      </c>
      <c r="M95" t="s">
        <v>13</v>
      </c>
    </row>
    <row r="96" spans="2:14" x14ac:dyDescent="0.25">
      <c r="M96" t="s">
        <v>13</v>
      </c>
    </row>
    <row r="97" spans="2:24" x14ac:dyDescent="0.25">
      <c r="B97" s="3" t="s">
        <v>15</v>
      </c>
      <c r="C97" s="5"/>
      <c r="D97" s="3" t="s">
        <v>17</v>
      </c>
      <c r="E97" s="2"/>
      <c r="F97" s="2"/>
      <c r="H97" s="3" t="s">
        <v>14</v>
      </c>
      <c r="I97" s="2"/>
      <c r="J97" s="2"/>
      <c r="L97" s="3" t="s">
        <v>16</v>
      </c>
      <c r="M97" t="s">
        <v>13</v>
      </c>
      <c r="N97" s="3" t="s">
        <v>18</v>
      </c>
      <c r="R97" s="3" t="s">
        <v>34</v>
      </c>
      <c r="V97" s="3" t="s">
        <v>35</v>
      </c>
      <c r="X97" s="3" t="s">
        <v>33</v>
      </c>
    </row>
    <row r="98" spans="2:24" x14ac:dyDescent="0.25">
      <c r="M98" t="s">
        <v>13</v>
      </c>
    </row>
    <row r="99" spans="2:24" x14ac:dyDescent="0.25">
      <c r="B99" t="str">
        <f>"test_cast_" &amp; _xlfn.REGEXREPLACE(D99, "[\[\]\.]", "_")</f>
        <v>test_cast_list</v>
      </c>
      <c r="D99" t="s">
        <v>0</v>
      </c>
      <c r="E99" t="str" cm="1">
        <f t="array" aca="1" ref="E99" ca="1">CELL("address", H99) &amp; ":" &amp; CELL("address", J101)</f>
        <v>$H$99:$J$101</v>
      </c>
      <c r="F99" t="str">
        <f t="shared" ref="F99:F151" ca="1" si="16">IF(LEN(B99) &lt;&gt; 0, "=" &amp; B99 &amp; "(" &amp; "(" &amp; E99 &amp; "))", "$$$$")</f>
        <v>=test_cast_list(($H$99:$J$101))</v>
      </c>
      <c r="G99" t="s">
        <v>13</v>
      </c>
      <c r="H99">
        <v>1.1000000000000001</v>
      </c>
      <c r="I99">
        <v>9.1</v>
      </c>
      <c r="J99">
        <v>10.3</v>
      </c>
      <c r="L99" t="str" cm="1">
        <f t="array" ref="L99:L101">test_cast_list(($H$99:$J$101))</f>
        <v>PyObj&lt;Sheet1$L$99e680fa84d3aefad3da59cd6e3b8a93f7f0e8f0ccfaca7d2590898ebe8f5e2acd&gt;_0</v>
      </c>
      <c r="M99" t="s">
        <v>13</v>
      </c>
      <c r="N99" cm="1">
        <f t="array" ref="N99:P99">show(L99)</f>
        <v>1.1000000000000001</v>
      </c>
      <c r="O99">
        <v>9.1</v>
      </c>
      <c r="P99">
        <v>10.3</v>
      </c>
    </row>
    <row r="100" spans="2:24" x14ac:dyDescent="0.25">
      <c r="F100" t="str">
        <f t="shared" si="16"/>
        <v>$$$$</v>
      </c>
      <c r="H100">
        <v>2.1</v>
      </c>
      <c r="I100">
        <v>13.3</v>
      </c>
      <c r="J100">
        <v>10</v>
      </c>
      <c r="L100" t="str">
        <v>PyObj&lt;Sheet1$L$99e680fa84d3aefad3da59cd6e3b8a93f7f0e8f0ccfaca7d2590898ebe8f5e2acd&gt;_1</v>
      </c>
      <c r="M100" t="s">
        <v>13</v>
      </c>
    </row>
    <row r="101" spans="2:24" x14ac:dyDescent="0.25">
      <c r="F101" t="str">
        <f t="shared" si="16"/>
        <v>$$$$</v>
      </c>
      <c r="H101">
        <v>3.1</v>
      </c>
      <c r="I101">
        <v>98.5</v>
      </c>
      <c r="J101">
        <v>9.8000000000000007</v>
      </c>
      <c r="L101" t="str">
        <v>PyObj&lt;Sheet1$L$99e680fa84d3aefad3da59cd6e3b8a93f7f0e8f0ccfaca7d2590898ebe8f5e2acd&gt;_2</v>
      </c>
      <c r="M101" t="s">
        <v>13</v>
      </c>
    </row>
    <row r="102" spans="2:24" x14ac:dyDescent="0.25">
      <c r="F102" t="str">
        <f t="shared" si="16"/>
        <v>$$$$</v>
      </c>
      <c r="G102" t="s">
        <v>13</v>
      </c>
      <c r="M102" t="s">
        <v>13</v>
      </c>
    </row>
    <row r="103" spans="2:24" x14ac:dyDescent="0.25">
      <c r="B103" s="7" t="str">
        <f t="shared" ref="B103" si="17">"test_cast_" &amp; _xlfn.REGEXREPLACE(D103, "[\[\]\.]", "_")</f>
        <v>test_cast_list1d</v>
      </c>
      <c r="D103" t="s">
        <v>1</v>
      </c>
      <c r="E103" t="str" cm="1">
        <f t="array" aca="1" ref="E103" ca="1">CELL("address", H103) &amp; ":" &amp; CELL("address", J105)</f>
        <v>$H$103:$J$105</v>
      </c>
      <c r="F103" t="str">
        <f t="shared" ca="1" si="16"/>
        <v>=test_cast_list1d(($H$103:$J$105))</v>
      </c>
      <c r="G103" t="s">
        <v>13</v>
      </c>
      <c r="H103">
        <v>1.1000000000000001</v>
      </c>
      <c r="I103">
        <v>9.1</v>
      </c>
      <c r="J103">
        <v>10.3</v>
      </c>
      <c r="L103" t="str" cm="1">
        <f t="array" ref="L103">test_cast_list1d(($H$103:$J$105))</f>
        <v>TypeError("Provided value is not compatible with typing.Annotated[list[~T], 'list1d']")</v>
      </c>
      <c r="M103" t="s">
        <v>38</v>
      </c>
    </row>
    <row r="104" spans="2:24" x14ac:dyDescent="0.25">
      <c r="F104" t="str">
        <f t="shared" si="16"/>
        <v>$$$$</v>
      </c>
      <c r="H104">
        <v>2.1</v>
      </c>
      <c r="I104">
        <v>13.3</v>
      </c>
      <c r="J104">
        <v>10</v>
      </c>
      <c r="M104" t="s">
        <v>13</v>
      </c>
    </row>
    <row r="105" spans="2:24" x14ac:dyDescent="0.25">
      <c r="F105" t="str">
        <f t="shared" si="16"/>
        <v>$$$$</v>
      </c>
      <c r="H105">
        <v>3.1</v>
      </c>
      <c r="I105">
        <v>98.5</v>
      </c>
      <c r="J105">
        <v>9.8000000000000007</v>
      </c>
      <c r="M105" t="s">
        <v>13</v>
      </c>
    </row>
    <row r="106" spans="2:24" x14ac:dyDescent="0.25">
      <c r="F106" t="str">
        <f t="shared" si="16"/>
        <v>$$$$</v>
      </c>
      <c r="G106" t="s">
        <v>13</v>
      </c>
      <c r="M106" t="s">
        <v>13</v>
      </c>
    </row>
    <row r="107" spans="2:24" x14ac:dyDescent="0.25">
      <c r="B107" t="str">
        <f t="shared" ref="B107" si="18">"test_cast_" &amp; _xlfn.REGEXREPLACE(D107, "[\[\]\.]", "_")</f>
        <v>test_cast_list2d</v>
      </c>
      <c r="D107" t="s">
        <v>2</v>
      </c>
      <c r="E107" t="str" cm="1">
        <f t="array" aca="1" ref="E107" ca="1">CELL("address", H107) &amp; ":" &amp; CELL("address", J109)</f>
        <v>$H$107:$J$109</v>
      </c>
      <c r="F107" t="str">
        <f t="shared" ca="1" si="16"/>
        <v>=test_cast_list2d(($H$107:$J$109))</v>
      </c>
      <c r="G107" t="s">
        <v>13</v>
      </c>
      <c r="H107">
        <v>1.1000000000000001</v>
      </c>
      <c r="I107">
        <v>9.1</v>
      </c>
      <c r="J107">
        <v>10.3</v>
      </c>
      <c r="L107" t="str" cm="1">
        <f t="array" ref="L107:L109">test_cast_list2d(($H$107:$J$109))</f>
        <v>PyObj&lt;Sheet1$L$107704292fbca165c357d79879151ebc834d5af343fd231e902c1e2bc6607bfab27&gt;_0</v>
      </c>
      <c r="M107" t="s">
        <v>13</v>
      </c>
      <c r="N107" cm="1">
        <f t="array" ref="N107:P107">show(L107)</f>
        <v>1.1000000000000001</v>
      </c>
      <c r="O107">
        <v>9.1</v>
      </c>
      <c r="P107">
        <v>10.3</v>
      </c>
    </row>
    <row r="108" spans="2:24" x14ac:dyDescent="0.25">
      <c r="F108" t="str">
        <f t="shared" si="16"/>
        <v>$$$$</v>
      </c>
      <c r="H108">
        <v>2.1</v>
      </c>
      <c r="I108">
        <v>13.3</v>
      </c>
      <c r="J108">
        <v>10</v>
      </c>
      <c r="L108" t="str">
        <v>PyObj&lt;Sheet1$L$107704292fbca165c357d79879151ebc834d5af343fd231e902c1e2bc6607bfab27&gt;_1</v>
      </c>
      <c r="M108" t="s">
        <v>13</v>
      </c>
    </row>
    <row r="109" spans="2:24" x14ac:dyDescent="0.25">
      <c r="F109" t="str">
        <f t="shared" si="16"/>
        <v>$$$$</v>
      </c>
      <c r="H109">
        <v>3.1</v>
      </c>
      <c r="I109">
        <v>98.5</v>
      </c>
      <c r="J109">
        <v>9.8000000000000007</v>
      </c>
      <c r="L109" t="str">
        <v>PyObj&lt;Sheet1$L$107704292fbca165c357d79879151ebc834d5af343fd231e902c1e2bc6607bfab27&gt;_2</v>
      </c>
      <c r="M109" t="s">
        <v>13</v>
      </c>
    </row>
    <row r="110" spans="2:24" x14ac:dyDescent="0.25">
      <c r="F110" t="str">
        <f t="shared" si="16"/>
        <v>$$$$</v>
      </c>
      <c r="G110" t="s">
        <v>13</v>
      </c>
      <c r="M110" t="s">
        <v>13</v>
      </c>
    </row>
    <row r="111" spans="2:24" x14ac:dyDescent="0.25">
      <c r="B111" t="str">
        <f t="shared" ref="B111" si="19">"test_cast_" &amp; _xlfn.REGEXREPLACE(D111, "[\[\]\.]", "_")</f>
        <v>test_cast_list_int_</v>
      </c>
      <c r="D111" t="s">
        <v>6</v>
      </c>
      <c r="E111" t="str" cm="1">
        <f t="array" aca="1" ref="E111" ca="1">CELL("address", H111) &amp; ":" &amp; CELL("address", J113)</f>
        <v>$H$111:$J$113</v>
      </c>
      <c r="F111" t="str">
        <f t="shared" ca="1" si="16"/>
        <v>=test_cast_list_int_(($H$111:$J$113))</v>
      </c>
      <c r="G111" t="s">
        <v>13</v>
      </c>
      <c r="H111">
        <v>1.1000000000000001</v>
      </c>
      <c r="I111">
        <v>9.1</v>
      </c>
      <c r="J111">
        <v>10.3</v>
      </c>
      <c r="L111" t="str" cm="1">
        <f t="array" ref="L111:L113">test_cast_list_int_(($H$111:$J$113))</f>
        <v>PyObj&lt;Sheet1$L$111362abd62ebe67395b0073d8a9da934111bae06b8ff1ab51d349bdf58ed844854&gt;_0</v>
      </c>
      <c r="M111" t="s">
        <v>13</v>
      </c>
      <c r="N111" cm="1">
        <f t="array" ref="N111:P111">show(L111)</f>
        <v>1</v>
      </c>
      <c r="O111">
        <v>9</v>
      </c>
      <c r="P111">
        <v>10</v>
      </c>
    </row>
    <row r="112" spans="2:24" x14ac:dyDescent="0.25">
      <c r="F112" t="str">
        <f t="shared" si="16"/>
        <v>$$$$</v>
      </c>
      <c r="H112">
        <v>2.1</v>
      </c>
      <c r="I112">
        <v>13.3</v>
      </c>
      <c r="J112">
        <v>10</v>
      </c>
      <c r="L112" t="str">
        <v>PyObj&lt;Sheet1$L$111362abd62ebe67395b0073d8a9da934111bae06b8ff1ab51d349bdf58ed844854&gt;_1</v>
      </c>
      <c r="M112" t="s">
        <v>13</v>
      </c>
    </row>
    <row r="113" spans="2:19" x14ac:dyDescent="0.25">
      <c r="F113" t="str">
        <f t="shared" si="16"/>
        <v>$$$$</v>
      </c>
      <c r="H113">
        <v>3.1</v>
      </c>
      <c r="I113">
        <v>98.5</v>
      </c>
      <c r="J113">
        <v>9.8000000000000007</v>
      </c>
      <c r="L113" t="str">
        <v>PyObj&lt;Sheet1$L$111362abd62ebe67395b0073d8a9da934111bae06b8ff1ab51d349bdf58ed844854&gt;_2</v>
      </c>
      <c r="M113" t="s">
        <v>13</v>
      </c>
    </row>
    <row r="114" spans="2:19" x14ac:dyDescent="0.25">
      <c r="F114" t="str">
        <f t="shared" si="16"/>
        <v>$$$$</v>
      </c>
      <c r="G114" t="s">
        <v>13</v>
      </c>
      <c r="M114" t="s">
        <v>13</v>
      </c>
    </row>
    <row r="115" spans="2:19" x14ac:dyDescent="0.25">
      <c r="B115" s="7" t="str">
        <f t="shared" ref="B115" si="20">"test_cast_" &amp; _xlfn.REGEXREPLACE(D115, "[\[\]\.]", "_")</f>
        <v>test_cast_list1d_int_</v>
      </c>
      <c r="D115" t="s">
        <v>3</v>
      </c>
      <c r="E115" t="str" cm="1">
        <f t="array" aca="1" ref="E115" ca="1">CELL("address", H115) &amp; ":" &amp; CELL("address", J117)</f>
        <v>$H$115:$J$117</v>
      </c>
      <c r="F115" t="str">
        <f t="shared" ca="1" si="16"/>
        <v>=test_cast_list1d_int_(($H$115:$J$117))</v>
      </c>
      <c r="G115" t="s">
        <v>13</v>
      </c>
      <c r="H115">
        <v>1.1000000000000001</v>
      </c>
      <c r="I115">
        <v>9.1</v>
      </c>
      <c r="J115">
        <v>10.3</v>
      </c>
      <c r="L115" t="str" cm="1">
        <f t="array" ref="L115">test_cast_list1d_int_(($H$115:$J$117))</f>
        <v>TypeError("Provided value is not compatible with typing.Annotated[list[~T], 'list1d']")</v>
      </c>
      <c r="M115" t="s">
        <v>38</v>
      </c>
    </row>
    <row r="116" spans="2:19" x14ac:dyDescent="0.25">
      <c r="F116" t="str">
        <f t="shared" si="16"/>
        <v>$$$$</v>
      </c>
      <c r="G116" t="s">
        <v>13</v>
      </c>
      <c r="H116">
        <v>2.1</v>
      </c>
      <c r="I116">
        <v>13.3</v>
      </c>
      <c r="J116">
        <v>10</v>
      </c>
      <c r="M116" t="s">
        <v>13</v>
      </c>
    </row>
    <row r="117" spans="2:19" x14ac:dyDescent="0.25">
      <c r="F117" t="str">
        <f t="shared" si="16"/>
        <v>$$$$</v>
      </c>
      <c r="G117" t="s">
        <v>13</v>
      </c>
      <c r="H117">
        <v>3.1</v>
      </c>
      <c r="I117">
        <v>98.5</v>
      </c>
      <c r="J117">
        <v>9.8000000000000007</v>
      </c>
      <c r="M117" t="s">
        <v>13</v>
      </c>
    </row>
    <row r="118" spans="2:19" x14ac:dyDescent="0.25">
      <c r="F118" t="str">
        <f t="shared" si="16"/>
        <v>$$$$</v>
      </c>
      <c r="G118" t="s">
        <v>13</v>
      </c>
      <c r="M118" t="s">
        <v>13</v>
      </c>
    </row>
    <row r="119" spans="2:19" x14ac:dyDescent="0.25">
      <c r="B119" t="str">
        <f t="shared" ref="B119" si="21">"test_cast_" &amp; _xlfn.REGEXREPLACE(D119, "[\[\]\.]", "_")</f>
        <v>test_cast_list2d_int_</v>
      </c>
      <c r="D119" t="s">
        <v>4</v>
      </c>
      <c r="E119" t="str" cm="1">
        <f t="array" aca="1" ref="E119" ca="1">CELL("address", H119) &amp; ":" &amp; CELL("address", J121)</f>
        <v>$H$119:$J$121</v>
      </c>
      <c r="F119" t="str">
        <f t="shared" ca="1" si="16"/>
        <v>=test_cast_list2d_int_(($H$119:$J$121))</v>
      </c>
      <c r="G119" t="s">
        <v>13</v>
      </c>
      <c r="H119">
        <v>1.1000000000000001</v>
      </c>
      <c r="I119">
        <v>9.1</v>
      </c>
      <c r="J119">
        <v>10.3</v>
      </c>
      <c r="L119" t="str" cm="1">
        <f t="array" ref="L119:L121">test_cast_list2d_int_(($H$119:$J$121))</f>
        <v>PyObj&lt;Sheet1$L$119a9ae0093857f164d16af825299f62967e7059a890c4b1702645bf17646c46750&gt;_0</v>
      </c>
      <c r="M119" t="s">
        <v>13</v>
      </c>
      <c r="N119" cm="1">
        <f t="array" ref="N119:P119">show(L119)</f>
        <v>1</v>
      </c>
      <c r="O119">
        <v>9</v>
      </c>
      <c r="P119">
        <v>10</v>
      </c>
      <c r="S119" t="str" cm="1">
        <f t="array" ref="S119">condense(_xlfn.ANCHORARRAY(L119))</f>
        <v>PyObj&lt;Sheet1$S$119fd2e0b6a9dc172cdf7c7f567a00117df6be35f6c3d2e387dac8f3fc5c026e351&gt;</v>
      </c>
    </row>
    <row r="120" spans="2:19" x14ac:dyDescent="0.25">
      <c r="F120" t="str">
        <f t="shared" si="16"/>
        <v>$$$$</v>
      </c>
      <c r="H120">
        <v>2.1</v>
      </c>
      <c r="I120">
        <v>13.3</v>
      </c>
      <c r="J120">
        <v>10</v>
      </c>
      <c r="L120" t="str">
        <v>PyObj&lt;Sheet1$L$119a9ae0093857f164d16af825299f62967e7059a890c4b1702645bf17646c46750&gt;_1</v>
      </c>
      <c r="M120" t="s">
        <v>13</v>
      </c>
    </row>
    <row r="121" spans="2:19" x14ac:dyDescent="0.25">
      <c r="F121" t="str">
        <f t="shared" si="16"/>
        <v>$$$$</v>
      </c>
      <c r="H121">
        <v>3.1</v>
      </c>
      <c r="I121">
        <v>98.5</v>
      </c>
      <c r="J121">
        <v>9.8000000000000007</v>
      </c>
      <c r="L121" t="str">
        <v>PyObj&lt;Sheet1$L$119a9ae0093857f164d16af825299f62967e7059a890c4b1702645bf17646c46750&gt;_2</v>
      </c>
      <c r="M121" t="s">
        <v>13</v>
      </c>
    </row>
    <row r="122" spans="2:19" x14ac:dyDescent="0.25">
      <c r="F122" t="str">
        <f t="shared" si="16"/>
        <v>$$$$</v>
      </c>
      <c r="G122" t="s">
        <v>13</v>
      </c>
      <c r="M122" t="s">
        <v>13</v>
      </c>
    </row>
    <row r="123" spans="2:19" x14ac:dyDescent="0.25">
      <c r="B123" t="str">
        <f t="shared" ref="B123" si="22">"test_cast_" &amp; _xlfn.REGEXREPLACE(D123, "[\[\]\.]", "_")</f>
        <v>test_cast_np_ndarray</v>
      </c>
      <c r="D123" t="s">
        <v>5</v>
      </c>
      <c r="E123" t="str" cm="1">
        <f t="array" aca="1" ref="E123" ca="1">CELL("address", H123) &amp; ":" &amp; CELL("address", J125)</f>
        <v>$H$123:$J$125</v>
      </c>
      <c r="F123" t="str">
        <f t="shared" ca="1" si="16"/>
        <v>=test_cast_np_ndarray(($H$123:$J$125))</v>
      </c>
      <c r="G123" t="s">
        <v>13</v>
      </c>
      <c r="H123">
        <v>1.1000000000000001</v>
      </c>
      <c r="I123">
        <v>9.1</v>
      </c>
      <c r="J123">
        <v>10.3</v>
      </c>
      <c r="L123" t="str" cm="1">
        <f t="array" ref="L123">test_cast_np_ndarray(($H$123:$J$125))</f>
        <v>PyObj&lt;Sheet1$L$1234e0cef6aae58376f05085657e88b74f3e884c80032eaead4ccf47a2fa5e2affa&gt;</v>
      </c>
      <c r="M123" t="s">
        <v>13</v>
      </c>
      <c r="N123" cm="1">
        <f t="array" ref="N123:P125">show(L123)</f>
        <v>1.1000000000000001</v>
      </c>
      <c r="O123">
        <v>9.1</v>
      </c>
      <c r="P123">
        <v>10.3</v>
      </c>
      <c r="S123" t="str" cm="1">
        <f t="array" ref="S123">condense(_xlfn.ANCHORARRAY(N123))</f>
        <v>PyObj&lt;Sheet1$S$1233b4ee8eec770677a0f1644de40fd855cc94d669e69dea54416f644beadfe5ba2&gt;</v>
      </c>
    </row>
    <row r="124" spans="2:19" x14ac:dyDescent="0.25">
      <c r="F124" t="str">
        <f t="shared" si="16"/>
        <v>$$$$</v>
      </c>
      <c r="H124">
        <v>2.1</v>
      </c>
      <c r="I124">
        <v>13.3</v>
      </c>
      <c r="J124">
        <v>10</v>
      </c>
      <c r="M124" t="s">
        <v>13</v>
      </c>
      <c r="N124">
        <v>2.1</v>
      </c>
      <c r="O124">
        <v>13.3</v>
      </c>
      <c r="P124">
        <v>10</v>
      </c>
    </row>
    <row r="125" spans="2:19" x14ac:dyDescent="0.25">
      <c r="F125" t="str">
        <f t="shared" si="16"/>
        <v>$$$$</v>
      </c>
      <c r="H125">
        <v>3.1</v>
      </c>
      <c r="I125">
        <v>98.5</v>
      </c>
      <c r="J125">
        <v>9.8000000000000007</v>
      </c>
      <c r="M125" t="s">
        <v>13</v>
      </c>
      <c r="N125">
        <v>3.1</v>
      </c>
      <c r="O125">
        <v>98.5</v>
      </c>
      <c r="P125">
        <v>9.8000000000000007</v>
      </c>
      <c r="S125" t="str" cm="1">
        <f t="array" ref="S125">condense(Sheet3!D4:H8)</f>
        <v>PyObj&lt;Sheet1$S$125cecc3993995d171b9386859cf56841b1048ae09fbb415ef1461070f648e81714&gt;</v>
      </c>
    </row>
    <row r="126" spans="2:19" x14ac:dyDescent="0.25">
      <c r="F126" t="str">
        <f t="shared" si="16"/>
        <v>$$$$</v>
      </c>
      <c r="G126" t="s">
        <v>13</v>
      </c>
      <c r="M126" t="s">
        <v>13</v>
      </c>
    </row>
    <row r="127" spans="2:19" x14ac:dyDescent="0.25">
      <c r="B127" s="7" t="str">
        <f t="shared" ref="B127" si="23">"test_cast_" &amp; _xlfn.REGEXREPLACE(D127, "[\[\]\.]", "_")</f>
        <v>test_cast_ndarray1d</v>
      </c>
      <c r="D127" t="s">
        <v>9</v>
      </c>
      <c r="E127" t="str" cm="1">
        <f t="array" aca="1" ref="E127" ca="1">CELL("address", H127) &amp; ":" &amp; CELL("address", J129)</f>
        <v>$H$127:$J$129</v>
      </c>
      <c r="F127" t="str">
        <f t="shared" ca="1" si="16"/>
        <v>=test_cast_ndarray1d(($H$127:$J$129))</v>
      </c>
      <c r="G127" t="s">
        <v>13</v>
      </c>
      <c r="H127">
        <v>1.1000000000000001</v>
      </c>
      <c r="I127">
        <v>9.1</v>
      </c>
      <c r="J127">
        <v>10.3</v>
      </c>
      <c r="L127" t="str" cm="1">
        <f t="array" ref="L127">test_cast_ndarray1d(($H$127:$J$129))</f>
        <v>TypeError("Provided value is not compatible with typing.Annotated[numpy.ndarray[tuple[typing.Any, ...], numpy.dtype[~T]], 'ndarray1d']")</v>
      </c>
      <c r="M127" t="s">
        <v>38</v>
      </c>
      <c r="N127" t="str" cm="1">
        <f t="array" ref="N127">show(L127)</f>
        <v>Promise&lt;PENDING_PREDECENTS&gt;</v>
      </c>
    </row>
    <row r="128" spans="2:19" x14ac:dyDescent="0.25">
      <c r="F128" t="str">
        <f t="shared" si="16"/>
        <v>$$$$</v>
      </c>
      <c r="H128">
        <v>2.1</v>
      </c>
      <c r="I128">
        <v>13.3</v>
      </c>
      <c r="J128">
        <v>10</v>
      </c>
      <c r="M128" t="s">
        <v>13</v>
      </c>
    </row>
    <row r="129" spans="2:16" x14ac:dyDescent="0.25">
      <c r="F129" t="str">
        <f t="shared" si="16"/>
        <v>$$$$</v>
      </c>
      <c r="H129">
        <v>3.1</v>
      </c>
      <c r="I129">
        <v>98.5</v>
      </c>
      <c r="J129">
        <v>9.8000000000000007</v>
      </c>
      <c r="M129" t="s">
        <v>13</v>
      </c>
    </row>
    <row r="130" spans="2:16" x14ac:dyDescent="0.25">
      <c r="F130" t="str">
        <f t="shared" si="16"/>
        <v>$$$$</v>
      </c>
      <c r="G130" t="s">
        <v>13</v>
      </c>
      <c r="M130" t="s">
        <v>13</v>
      </c>
    </row>
    <row r="131" spans="2:16" x14ac:dyDescent="0.25">
      <c r="B131" t="str">
        <f t="shared" ref="B131" si="24">"test_cast_" &amp; _xlfn.REGEXREPLACE(D131, "[\[\]\.]", "_")</f>
        <v>test_cast_ndarray2d</v>
      </c>
      <c r="D131" t="s">
        <v>10</v>
      </c>
      <c r="E131" t="str" cm="1">
        <f t="array" aca="1" ref="E131" ca="1">CELL("address", H131) &amp; ":" &amp; CELL("address", J133)</f>
        <v>$H$131:$J$133</v>
      </c>
      <c r="F131" t="str">
        <f t="shared" ca="1" si="16"/>
        <v>=test_cast_ndarray2d(($H$131:$J$133))</v>
      </c>
      <c r="G131" t="s">
        <v>13</v>
      </c>
      <c r="H131">
        <v>1.1000000000000001</v>
      </c>
      <c r="I131">
        <v>9.1</v>
      </c>
      <c r="J131">
        <v>10.3</v>
      </c>
      <c r="L131" t="str" cm="1">
        <f t="array" ref="L131">test_cast_ndarray2d(($H$131:$J$133))</f>
        <v>PyObj&lt;Sheet1$L$131d3966e7b59c06c79cb8cdc4c041d07296493e984030035c3501e1ae140f5e2ad&gt;</v>
      </c>
      <c r="M131" t="s">
        <v>13</v>
      </c>
      <c r="N131" cm="1">
        <f t="array" ref="N131:P133">show(L131)</f>
        <v>1.1000000000000001</v>
      </c>
      <c r="O131">
        <v>9.1</v>
      </c>
      <c r="P131">
        <v>10.3</v>
      </c>
    </row>
    <row r="132" spans="2:16" x14ac:dyDescent="0.25">
      <c r="F132" t="str">
        <f t="shared" si="16"/>
        <v>$$$$</v>
      </c>
      <c r="H132">
        <v>2.1</v>
      </c>
      <c r="I132">
        <v>13.3</v>
      </c>
      <c r="J132">
        <v>10</v>
      </c>
      <c r="M132" t="s">
        <v>13</v>
      </c>
      <c r="N132">
        <v>2.1</v>
      </c>
      <c r="O132">
        <v>13.3</v>
      </c>
      <c r="P132">
        <v>10</v>
      </c>
    </row>
    <row r="133" spans="2:16" x14ac:dyDescent="0.25">
      <c r="F133" t="str">
        <f t="shared" si="16"/>
        <v>$$$$</v>
      </c>
      <c r="H133">
        <v>3.1</v>
      </c>
      <c r="I133">
        <v>98.5</v>
      </c>
      <c r="J133">
        <v>9.8000000000000007</v>
      </c>
      <c r="M133" t="s">
        <v>13</v>
      </c>
      <c r="N133">
        <v>3.1</v>
      </c>
      <c r="O133">
        <v>98.5</v>
      </c>
      <c r="P133">
        <v>9.8000000000000007</v>
      </c>
    </row>
    <row r="134" spans="2:16" x14ac:dyDescent="0.25">
      <c r="F134" t="str">
        <f t="shared" si="16"/>
        <v>$$$$</v>
      </c>
      <c r="G134" t="s">
        <v>13</v>
      </c>
      <c r="M134" t="s">
        <v>13</v>
      </c>
    </row>
    <row r="135" spans="2:16" x14ac:dyDescent="0.25">
      <c r="B135" t="str">
        <f t="shared" ref="B135" si="25">"test_cast_" &amp; _xlfn.REGEXREPLACE(D135, "[\[\]\.]", "_")</f>
        <v>test_cast_np_ndarray_int_</v>
      </c>
      <c r="D135" t="s">
        <v>7</v>
      </c>
      <c r="E135" t="str" cm="1">
        <f t="array" aca="1" ref="E135" ca="1">CELL("address", H135) &amp; ":" &amp; CELL("address", J137)</f>
        <v>$H$135:$J$137</v>
      </c>
      <c r="F135" t="str">
        <f t="shared" ca="1" si="16"/>
        <v>=test_cast_np_ndarray_int_(($H$135:$J$137))</v>
      </c>
      <c r="G135" t="s">
        <v>13</v>
      </c>
      <c r="H135">
        <v>1.1000000000000001</v>
      </c>
      <c r="I135">
        <v>9.1</v>
      </c>
      <c r="J135">
        <v>10.3</v>
      </c>
      <c r="L135" t="str" cm="1">
        <f t="array" ref="L135">test_cast_np_ndarray_int_(($H$135:$J$137))</f>
        <v>PyObj&lt;Sheet1$L$135729fc9fec37af98c0a2363886ce77701a47b934465dd262aea4a420712e234e4&gt;</v>
      </c>
      <c r="M135" t="s">
        <v>13</v>
      </c>
      <c r="N135" cm="1">
        <f t="array" ref="N135:P137">show(L135)</f>
        <v>1</v>
      </c>
      <c r="O135">
        <v>9</v>
      </c>
      <c r="P135">
        <v>10</v>
      </c>
    </row>
    <row r="136" spans="2:16" x14ac:dyDescent="0.25">
      <c r="F136" t="str">
        <f t="shared" si="16"/>
        <v>$$$$</v>
      </c>
      <c r="H136">
        <v>2.1</v>
      </c>
      <c r="I136">
        <v>13.3</v>
      </c>
      <c r="J136">
        <v>10</v>
      </c>
      <c r="M136" t="s">
        <v>13</v>
      </c>
      <c r="N136">
        <v>2</v>
      </c>
      <c r="O136">
        <v>13</v>
      </c>
      <c r="P136">
        <v>10</v>
      </c>
    </row>
    <row r="137" spans="2:16" x14ac:dyDescent="0.25">
      <c r="F137" t="str">
        <f t="shared" si="16"/>
        <v>$$$$</v>
      </c>
      <c r="H137">
        <v>3.1</v>
      </c>
      <c r="I137">
        <v>98.5</v>
      </c>
      <c r="J137">
        <v>9.8000000000000007</v>
      </c>
      <c r="M137" t="s">
        <v>13</v>
      </c>
      <c r="N137">
        <v>3</v>
      </c>
      <c r="O137">
        <v>98</v>
      </c>
      <c r="P137">
        <v>9</v>
      </c>
    </row>
    <row r="138" spans="2:16" x14ac:dyDescent="0.25">
      <c r="F138" t="str">
        <f t="shared" si="16"/>
        <v>$$$$</v>
      </c>
      <c r="G138" t="s">
        <v>13</v>
      </c>
      <c r="M138" t="s">
        <v>13</v>
      </c>
    </row>
    <row r="139" spans="2:16" x14ac:dyDescent="0.25">
      <c r="B139" t="str">
        <f t="shared" ref="B139" si="26">"test_cast_" &amp; _xlfn.REGEXREPLACE(D139, "[\[\]\.]", "_")</f>
        <v>test_cast_np_ndarray_np_int32_</v>
      </c>
      <c r="D139" t="s">
        <v>8</v>
      </c>
      <c r="E139" t="str" cm="1">
        <f t="array" aca="1" ref="E139" ca="1">CELL("address", H139) &amp; ":" &amp; CELL("address", J141)</f>
        <v>$H$139:$J$141</v>
      </c>
      <c r="F139" t="str">
        <f t="shared" ca="1" si="16"/>
        <v>=test_cast_np_ndarray_np_int32_(($H$139:$J$141))</v>
      </c>
      <c r="G139" t="s">
        <v>13</v>
      </c>
      <c r="H139">
        <v>1.1000000000000001</v>
      </c>
      <c r="I139">
        <v>9.1</v>
      </c>
      <c r="J139">
        <v>10.3</v>
      </c>
      <c r="L139" t="str" cm="1">
        <f t="array" ref="L139">test_cast_np_ndarray_np_int32_(($H$139:$J$141))</f>
        <v>TypeError("int() argument must be a string, a bytes-like object or a real number, not 'NoneType'")</v>
      </c>
      <c r="M139" t="s">
        <v>39</v>
      </c>
      <c r="N139" t="str" cm="1">
        <f t="array" ref="N139">show(L139)</f>
        <v>Promise&lt;PENDING_PREDECENTS&gt;</v>
      </c>
    </row>
    <row r="140" spans="2:16" x14ac:dyDescent="0.25">
      <c r="F140" t="str">
        <f t="shared" si="16"/>
        <v>$$$$</v>
      </c>
      <c r="H140">
        <v>3</v>
      </c>
      <c r="I140">
        <v>13.3</v>
      </c>
      <c r="J140">
        <v>10</v>
      </c>
      <c r="M140" t="s">
        <v>13</v>
      </c>
    </row>
    <row r="141" spans="2:16" x14ac:dyDescent="0.25">
      <c r="F141" t="str">
        <f t="shared" si="16"/>
        <v>$$$$</v>
      </c>
      <c r="H141" t="str">
        <f>pyNone</f>
        <v>pyNone</v>
      </c>
      <c r="I141" t="str">
        <f>pyNone</f>
        <v>pyNone</v>
      </c>
      <c r="J141" t="str">
        <f>pyNone</f>
        <v>pyNone</v>
      </c>
      <c r="M141" t="s">
        <v>13</v>
      </c>
    </row>
    <row r="142" spans="2:16" x14ac:dyDescent="0.25">
      <c r="F142" t="str">
        <f t="shared" si="16"/>
        <v>$$$$</v>
      </c>
      <c r="G142" t="s">
        <v>13</v>
      </c>
      <c r="M142" t="s">
        <v>13</v>
      </c>
    </row>
    <row r="143" spans="2:16" x14ac:dyDescent="0.25">
      <c r="B143" t="s">
        <v>22</v>
      </c>
      <c r="D143" t="s">
        <v>23</v>
      </c>
      <c r="E143" t="str" cm="1">
        <f t="array" aca="1" ref="E143" ca="1">CELL("address", H143) &amp; ":" &amp; CELL("address", J145)</f>
        <v>$H$143:$J$145</v>
      </c>
      <c r="F143" t="str">
        <f t="shared" ca="1" si="16"/>
        <v>=test_cast_np_ndarray_np_float64_(($H$143:$J$145))</v>
      </c>
      <c r="H143">
        <v>1.2</v>
      </c>
      <c r="I143">
        <v>9.1</v>
      </c>
      <c r="J143">
        <v>10.3</v>
      </c>
      <c r="L143" t="str" cm="1">
        <f t="array" ref="L143">test_cast_np_ndarray_np_float64_(($H$143:$J$145))</f>
        <v>PyObj&lt;Sheet1$L$14348a708142e92eb2878468271446ee53abdf806452aa3850963b09f528ba3e82c&gt;</v>
      </c>
      <c r="N143" cm="1">
        <f t="array" ref="N143:P145">show(L143)</f>
        <v>1.2</v>
      </c>
      <c r="O143">
        <v>9.1</v>
      </c>
      <c r="P143">
        <v>10.3</v>
      </c>
    </row>
    <row r="144" spans="2:16" x14ac:dyDescent="0.25">
      <c r="F144" t="str">
        <f t="shared" si="16"/>
        <v>$$$$</v>
      </c>
      <c r="H144">
        <v>3</v>
      </c>
      <c r="I144">
        <v>13.3</v>
      </c>
      <c r="J144">
        <v>10</v>
      </c>
      <c r="N144">
        <v>3</v>
      </c>
      <c r="O144">
        <v>13.3</v>
      </c>
      <c r="P144">
        <v>10</v>
      </c>
    </row>
    <row r="145" spans="2:16" x14ac:dyDescent="0.25">
      <c r="F145" t="str">
        <f t="shared" si="16"/>
        <v>$$$$</v>
      </c>
      <c r="H145" t="str">
        <f>pyNone</f>
        <v>pyNone</v>
      </c>
      <c r="I145" t="str">
        <f>pyNone</f>
        <v>pyNone</v>
      </c>
      <c r="J145" t="str">
        <f>pyNone</f>
        <v>pyNone</v>
      </c>
      <c r="N145" t="e">
        <v>#NUM!</v>
      </c>
      <c r="O145" t="e">
        <v>#NUM!</v>
      </c>
      <c r="P145" t="e">
        <v>#NUM!</v>
      </c>
    </row>
    <row r="146" spans="2:16" x14ac:dyDescent="0.25">
      <c r="F146" t="str">
        <f t="shared" si="16"/>
        <v>$$$$</v>
      </c>
    </row>
    <row r="147" spans="2:16" x14ac:dyDescent="0.25">
      <c r="B147" s="7" t="str">
        <f t="shared" ref="B147" si="27">"test_cast_" &amp; _xlfn.REGEXREPLACE(D147, "[\[\]\.]", "_")</f>
        <v>test_cast_ndarray1d_np_int32_</v>
      </c>
      <c r="D147" t="s">
        <v>11</v>
      </c>
      <c r="E147" t="str" cm="1">
        <f t="array" aca="1" ref="E147" ca="1">CELL("address", H147) &amp; ":" &amp; CELL("address", J149)</f>
        <v>$H$147:$J$149</v>
      </c>
      <c r="F147" t="str">
        <f t="shared" ca="1" si="16"/>
        <v>=test_cast_ndarray1d_np_int32_(($H$147:$J$149))</v>
      </c>
      <c r="G147" t="s">
        <v>13</v>
      </c>
      <c r="H147">
        <v>1.1000000000000001</v>
      </c>
      <c r="I147">
        <v>9.1</v>
      </c>
      <c r="J147">
        <v>10.3</v>
      </c>
      <c r="L147" t="str" cm="1">
        <f t="array" ref="L147">test_cast_ndarray1d_np_int32_(($H$147:$J$149))</f>
        <v>TypeError("Provided value is not compatible with typing.Annotated[numpy.ndarray[tuple[typing.Any, ...], numpy.dtype[~T]], 'ndarray1d']")</v>
      </c>
      <c r="M147" t="s">
        <v>38</v>
      </c>
      <c r="N147" t="str" cm="1">
        <f t="array" ref="N147">show(L147)</f>
        <v>Promise&lt;PENDING_PREDECENTS&gt;</v>
      </c>
    </row>
    <row r="148" spans="2:16" x14ac:dyDescent="0.25">
      <c r="F148" t="str">
        <f t="shared" si="16"/>
        <v>$$$$</v>
      </c>
      <c r="H148">
        <v>2.1</v>
      </c>
      <c r="I148">
        <v>13.3</v>
      </c>
      <c r="J148">
        <v>10</v>
      </c>
      <c r="M148" t="s">
        <v>13</v>
      </c>
    </row>
    <row r="149" spans="2:16" x14ac:dyDescent="0.25">
      <c r="F149" t="str">
        <f t="shared" si="16"/>
        <v>$$$$</v>
      </c>
      <c r="H149">
        <v>3.1</v>
      </c>
      <c r="I149">
        <v>98.5</v>
      </c>
      <c r="J149">
        <v>9.8000000000000007</v>
      </c>
      <c r="M149" t="s">
        <v>13</v>
      </c>
    </row>
    <row r="150" spans="2:16" x14ac:dyDescent="0.25">
      <c r="F150" t="str">
        <f t="shared" si="16"/>
        <v>$$$$</v>
      </c>
      <c r="G150" t="s">
        <v>13</v>
      </c>
      <c r="M150" t="s">
        <v>13</v>
      </c>
    </row>
    <row r="151" spans="2:16" x14ac:dyDescent="0.25">
      <c r="B151" t="str">
        <f t="shared" ref="B151" si="28">"test_cast_" &amp; _xlfn.REGEXREPLACE(D151, "[\[\]\.]", "_")</f>
        <v>test_cast_ndarray2d_np_int32_</v>
      </c>
      <c r="D151" t="s">
        <v>12</v>
      </c>
      <c r="E151" t="str" cm="1">
        <f t="array" aca="1" ref="E151" ca="1">CELL("address", H151) &amp; ":" &amp; CELL("address", J153)</f>
        <v>$H$151:$J$153</v>
      </c>
      <c r="F151" t="str">
        <f t="shared" ca="1" si="16"/>
        <v>=test_cast_ndarray2d_np_int32_(($H$151:$J$153))</v>
      </c>
      <c r="G151" t="s">
        <v>13</v>
      </c>
      <c r="H151">
        <v>1.1000000000000001</v>
      </c>
      <c r="I151">
        <v>9.1</v>
      </c>
      <c r="J151">
        <v>10.3</v>
      </c>
      <c r="L151" t="str" cm="1">
        <f t="array" ref="L151">test_cast_ndarray2d_np_int32_(($H$151:$J$153))</f>
        <v>PyObj&lt;Sheet1$L$1518cb9d23a6635066d800e6d329dbbd77536c546523568264c168fa0fc134d77cc&gt;</v>
      </c>
      <c r="M151" t="s">
        <v>13</v>
      </c>
      <c r="N151" cm="1">
        <f t="array" ref="N151:P153">show(L151)</f>
        <v>1</v>
      </c>
      <c r="O151">
        <v>9</v>
      </c>
      <c r="P151">
        <v>10</v>
      </c>
    </row>
    <row r="152" spans="2:16" x14ac:dyDescent="0.25">
      <c r="H152">
        <v>2.1</v>
      </c>
      <c r="I152">
        <v>13.3</v>
      </c>
      <c r="J152">
        <v>10</v>
      </c>
      <c r="M152" t="s">
        <v>13</v>
      </c>
      <c r="N152">
        <v>2</v>
      </c>
      <c r="O152">
        <v>13</v>
      </c>
      <c r="P152">
        <v>10</v>
      </c>
    </row>
    <row r="153" spans="2:16" x14ac:dyDescent="0.25">
      <c r="H153">
        <v>3.1</v>
      </c>
      <c r="I153">
        <v>98.5</v>
      </c>
      <c r="J153">
        <v>9.8000000000000007</v>
      </c>
      <c r="M153" t="s">
        <v>13</v>
      </c>
      <c r="N153">
        <v>3</v>
      </c>
      <c r="O153">
        <v>98</v>
      </c>
      <c r="P153">
        <v>9</v>
      </c>
    </row>
    <row r="154" spans="2:16" x14ac:dyDescent="0.25">
      <c r="M154" t="s">
        <v>13</v>
      </c>
    </row>
    <row r="155" spans="2:16" x14ac:dyDescent="0.25">
      <c r="B155" s="1" t="s">
        <v>25</v>
      </c>
      <c r="M155" t="s">
        <v>13</v>
      </c>
    </row>
    <row r="156" spans="2:16" x14ac:dyDescent="0.25">
      <c r="B156" s="1"/>
    </row>
    <row r="157" spans="2:16" x14ac:dyDescent="0.25">
      <c r="B157" t="s">
        <v>27</v>
      </c>
      <c r="D157" t="s">
        <v>26</v>
      </c>
      <c r="E157" t="str" cm="1">
        <f t="array" aca="1" ref="E157" ca="1">CELL("address", H157) &amp; ":" &amp; CELL("address", H159)</f>
        <v>$H$157:$H$159</v>
      </c>
      <c r="F157" t="str">
        <f t="shared" ref="F157" ca="1" si="29">IF(LEN(B157) &lt;&gt; 0, "=" &amp; B157 &amp; "(" &amp; "(" &amp; E157 &amp; "))", "$$$$")</f>
        <v>=test_cast_ndarray1d_np_datetime64_(($H$157:$H$159))</v>
      </c>
      <c r="H157" s="6">
        <f ca="1">TODAY()</f>
        <v>45850</v>
      </c>
      <c r="L157" t="str" cm="1">
        <f t="array" aca="1" ref="L157" ca="1">test_cast_ndarray1d_np_datetime64_(($H$157:$H$159))</f>
        <v>PyObj&lt;Sheet1$L$15762cb9573a2f6bbf8718abdb1d62ede44f0673f12ccc1d74ef345396a296cdf35&gt;</v>
      </c>
      <c r="M157" t="s">
        <v>13</v>
      </c>
    </row>
    <row r="158" spans="2:16" x14ac:dyDescent="0.25">
      <c r="H158" s="6">
        <f ca="1">TODAY()+1</f>
        <v>45851</v>
      </c>
    </row>
    <row r="159" spans="2:16" x14ac:dyDescent="0.25">
      <c r="H159" s="6">
        <f ca="1">TODAY()+2</f>
        <v>45852</v>
      </c>
    </row>
    <row r="161" spans="2:16" x14ac:dyDescent="0.25">
      <c r="B161" t="s">
        <v>29</v>
      </c>
      <c r="D161" t="s">
        <v>28</v>
      </c>
      <c r="E161" t="str" cm="1">
        <f t="array" aca="1" ref="E161" ca="1">CELL("address", H161) &amp; ":" &amp; CELL("address", J163)</f>
        <v>$H$161:$J$163</v>
      </c>
      <c r="F161" t="str">
        <f t="shared" ref="F161" ca="1" si="30">IF(LEN(B161) &lt;&gt; 0, "=" &amp; B161 &amp; "(" &amp; "(" &amp; E161 &amp; "))", "$$$$")</f>
        <v>=test_cast_ndarray2d_np_datetime64_(($H$161:$J$163))</v>
      </c>
      <c r="H161" s="6">
        <v>2</v>
      </c>
      <c r="I161" s="6">
        <f ca="1">TODAY()</f>
        <v>45850</v>
      </c>
      <c r="J161" s="6">
        <f ca="1">TODAY()</f>
        <v>45850</v>
      </c>
      <c r="L161" s="4" t="str" cm="1">
        <f t="array" aca="1" ref="L161" ca="1">test_cast_ndarray2d_np_datetime64_(($H$161:$J$163))</f>
        <v>PyObj&lt;Sheet1$L$161e57cafa19559693e2c8cc10192247fa268a5a194dd9e51cd8c63cd03903e4cd5&gt;</v>
      </c>
      <c r="M161" t="s">
        <v>13</v>
      </c>
      <c r="N161" s="6" cm="1">
        <f t="array" aca="1" ref="N161:P163" ca="1">show(L161)</f>
        <v>2</v>
      </c>
      <c r="O161" s="6">
        <f ca="1"/>
        <v>45850</v>
      </c>
      <c r="P161" s="6">
        <f ca="1"/>
        <v>45850</v>
      </c>
    </row>
    <row r="162" spans="2:16" x14ac:dyDescent="0.25">
      <c r="H162" s="6">
        <f ca="1">TODAY()+1</f>
        <v>45851</v>
      </c>
      <c r="I162" s="6">
        <f ca="1">TODAY()+1</f>
        <v>45851</v>
      </c>
      <c r="J162" s="6">
        <f ca="1">TODAY()+1</f>
        <v>45851</v>
      </c>
      <c r="N162" s="6">
        <f ca="1"/>
        <v>45851</v>
      </c>
      <c r="O162" s="6">
        <f ca="1"/>
        <v>45851</v>
      </c>
      <c r="P162" s="6">
        <f ca="1"/>
        <v>45851</v>
      </c>
    </row>
    <row r="163" spans="2:16" x14ac:dyDescent="0.25">
      <c r="H163" s="6">
        <f ca="1">TODAY()+2</f>
        <v>45852</v>
      </c>
      <c r="I163" s="6">
        <f ca="1">TODAY()+2</f>
        <v>45852</v>
      </c>
      <c r="J163" s="6">
        <f ca="1">TODAY()+2</f>
        <v>45852</v>
      </c>
      <c r="N163" s="6">
        <f ca="1"/>
        <v>45852</v>
      </c>
      <c r="O163" s="6">
        <f ca="1"/>
        <v>45852</v>
      </c>
      <c r="P163" s="6">
        <f ca="1"/>
        <v>45852</v>
      </c>
    </row>
    <row r="165" spans="2:16" x14ac:dyDescent="0.25">
      <c r="B165" t="s">
        <v>30</v>
      </c>
      <c r="D165" t="s">
        <v>28</v>
      </c>
      <c r="E165" t="str" cm="1">
        <f t="array" aca="1" ref="E165" ca="1">CELL("address", H165) &amp; ":" &amp; CELL("address", H167)</f>
        <v>$H$165:$H$167</v>
      </c>
      <c r="F165" t="str">
        <f t="shared" ref="F165" ca="1" si="31">IF(LEN(B165) &lt;&gt; 0, "=" &amp; B165 &amp; "(" &amp; "(" &amp; E165 &amp; "))", "$$$$")</f>
        <v>=test_cast_ndarray2d_np_datetime64_show_dt(($H$165:$H$167))</v>
      </c>
      <c r="H165" s="6">
        <f>3.5</f>
        <v>3.5</v>
      </c>
      <c r="I165" s="6">
        <f ca="1">TODAY()+9</f>
        <v>45859</v>
      </c>
      <c r="J165" s="6">
        <f ca="1">TODAY()+110</f>
        <v>45960</v>
      </c>
      <c r="L165" s="4" t="str" cm="1">
        <f t="array" aca="1" ref="L165" ca="1">test_cast_ndarray2d_np_datetime64_show_dt(($H$165:$J$167))</f>
        <v>PyObj&lt;Sheet1$L$16549da20634330f96e30e5b49ceaf1e13d5e24f3523bb4aeebeeb4fc2d6add4a60&gt;</v>
      </c>
      <c r="M165" t="str" cm="1">
        <f t="array" aca="1" ref="M165" ca="1">pytype(L165)</f>
        <v>&lt;class 'numpy.ndarray'&gt;</v>
      </c>
      <c r="N165" s="6" cm="1">
        <f t="array" aca="1" ref="N165:P167" ca="1">show(L165)</f>
        <v>3.5</v>
      </c>
      <c r="O165" s="6">
        <f ca="1"/>
        <v>45859</v>
      </c>
      <c r="P165" s="6">
        <f ca="1"/>
        <v>45960</v>
      </c>
    </row>
    <row r="166" spans="2:16" x14ac:dyDescent="0.25">
      <c r="H166" s="6">
        <f ca="1">TODAY()+1</f>
        <v>45851</v>
      </c>
      <c r="I166" s="6">
        <f ca="1">TODAY()+1</f>
        <v>45851</v>
      </c>
      <c r="J166" s="6">
        <f ca="1">TODAY()+1</f>
        <v>45851</v>
      </c>
      <c r="N166" s="6">
        <f ca="1"/>
        <v>45851</v>
      </c>
      <c r="O166" s="6">
        <f ca="1"/>
        <v>45851</v>
      </c>
      <c r="P166" s="6">
        <f ca="1"/>
        <v>45851</v>
      </c>
    </row>
    <row r="167" spans="2:16" x14ac:dyDescent="0.25">
      <c r="H167" s="6">
        <f ca="1">TODAY()+2</f>
        <v>45852</v>
      </c>
      <c r="I167" s="6">
        <f ca="1">TODAY()+2</f>
        <v>45852</v>
      </c>
      <c r="J167" s="6">
        <f ca="1">TODAY()+2</f>
        <v>45852</v>
      </c>
      <c r="N167" s="6">
        <f ca="1"/>
        <v>45852</v>
      </c>
      <c r="O167" s="6">
        <f ca="1"/>
        <v>45852</v>
      </c>
      <c r="P167" s="6">
        <f ca="1"/>
        <v>45852</v>
      </c>
    </row>
    <row r="169" spans="2:16" x14ac:dyDescent="0.25">
      <c r="B169" t="s">
        <v>31</v>
      </c>
      <c r="D169" t="s">
        <v>28</v>
      </c>
      <c r="E169" t="str" cm="1">
        <f t="array" aca="1" ref="E169" ca="1">CELL("address", H169) &amp; ":" &amp; CELL("address", H171)</f>
        <v>$H$169:$H$171</v>
      </c>
      <c r="F169" t="str">
        <f t="shared" ref="F169" ca="1" si="32">IF(LEN(B169) &lt;&gt; 0, "=" &amp; B169 &amp; "(" &amp; "(" &amp; E169 &amp; "))", "$$$$")</f>
        <v>=test_pd_datetime_show(($H$169:$H$171))</v>
      </c>
      <c r="H169" s="6">
        <v>3</v>
      </c>
      <c r="I169" s="6">
        <f ca="1">TODAY()</f>
        <v>45850</v>
      </c>
      <c r="J169" s="6">
        <f ca="1">TODAY()</f>
        <v>45850</v>
      </c>
      <c r="L169" s="4" t="str" cm="1">
        <f t="array" aca="1" ref="L169" ca="1">test_pd_datetime_show(($H$169:$J$171))</f>
        <v>PyObj&lt;Sheet1$L$1690864746411df2e94cdcaac6671b265ee54f69d7789ceabd7199b123f7ae5bd7c&gt;</v>
      </c>
      <c r="N169" s="6" cm="1">
        <f t="array" aca="1" ref="N169:P171" ca="1">show(L169)</f>
        <v>3</v>
      </c>
      <c r="O169" s="6">
        <f ca="1"/>
        <v>45850</v>
      </c>
      <c r="P169" s="6">
        <f ca="1"/>
        <v>45850</v>
      </c>
    </row>
    <row r="170" spans="2:16" x14ac:dyDescent="0.25">
      <c r="H170" s="6">
        <f ca="1">TODAY()+1</f>
        <v>45851</v>
      </c>
      <c r="I170" s="6">
        <f ca="1">TODAY()+1</f>
        <v>45851</v>
      </c>
      <c r="J170" s="6">
        <f ca="1">TODAY()+1</f>
        <v>45851</v>
      </c>
      <c r="N170" s="6">
        <f ca="1"/>
        <v>45851</v>
      </c>
      <c r="O170" s="6">
        <f ca="1"/>
        <v>45851</v>
      </c>
      <c r="P170" s="6">
        <f ca="1"/>
        <v>45851</v>
      </c>
    </row>
    <row r="171" spans="2:16" x14ac:dyDescent="0.25">
      <c r="H171" s="6">
        <f ca="1">TODAY()+2</f>
        <v>45852</v>
      </c>
      <c r="I171" s="6">
        <f ca="1">TODAY()+2</f>
        <v>45852</v>
      </c>
      <c r="J171" s="6">
        <f ca="1">TODAY()+2</f>
        <v>45852</v>
      </c>
      <c r="N171" s="6">
        <f ca="1"/>
        <v>45852</v>
      </c>
      <c r="O171" s="6">
        <f ca="1"/>
        <v>45852</v>
      </c>
      <c r="P171" s="6">
        <f ca="1"/>
        <v>45852</v>
      </c>
    </row>
    <row r="173" spans="2:16" x14ac:dyDescent="0.25">
      <c r="B173" t="s">
        <v>37</v>
      </c>
      <c r="D173" t="s">
        <v>32</v>
      </c>
      <c r="F173" t="str">
        <f t="shared" ref="F173" si="33">IF(LEN(B173) &lt;&gt; 0, "=" &amp; B173 &amp; "(" &amp; "(" &amp; E173 &amp; "))", "$$$$")</f>
        <v>=test_pd_mix_datetime_show(())</v>
      </c>
      <c r="H173" s="6">
        <v>3</v>
      </c>
      <c r="I173" s="6"/>
      <c r="J173">
        <v>4</v>
      </c>
      <c r="L173" t="str" cm="1">
        <f t="array" aca="1" ref="L173" ca="1">test_pd_mix_datetime_show($H$173:$H$175, $J$173:$J$175)</f>
        <v>PyObj&lt;Sheet1$L$17352e8b785aa9ea25acf1664eabd6bc867069da6f12bfe90f993a69b22041a7089&gt;</v>
      </c>
      <c r="M173" t="str" cm="1">
        <f t="array" aca="1" ref="M173" ca="1">pytype(L173)</f>
        <v>&lt;class 'pandas.core.frame.DataFrame'&gt;</v>
      </c>
      <c r="N173" s="6" cm="1">
        <f t="array" aca="1" ref="N173:O175" ca="1">show(L173)</f>
        <v>3</v>
      </c>
      <c r="O173">
        <f ca="1"/>
        <v>4</v>
      </c>
    </row>
    <row r="174" spans="2:16" x14ac:dyDescent="0.25">
      <c r="H174" s="6">
        <f ca="1">TODAY()+1</f>
        <v>45851</v>
      </c>
      <c r="I174" s="6"/>
      <c r="J174">
        <v>2</v>
      </c>
      <c r="N174" s="6">
        <f ca="1"/>
        <v>45851</v>
      </c>
      <c r="O174">
        <f ca="1"/>
        <v>2</v>
      </c>
    </row>
    <row r="175" spans="2:16" x14ac:dyDescent="0.25">
      <c r="H175" s="6">
        <f ca="1">TODAY()+2</f>
        <v>45852</v>
      </c>
      <c r="I175" s="6"/>
      <c r="J175">
        <v>3</v>
      </c>
      <c r="N175" s="6">
        <f ca="1"/>
        <v>45852</v>
      </c>
      <c r="O175">
        <f ca="1"/>
        <v>3</v>
      </c>
    </row>
    <row r="182" spans="2:20" x14ac:dyDescent="0.25">
      <c r="B182" t="s">
        <v>36</v>
      </c>
      <c r="D182" t="s">
        <v>32</v>
      </c>
      <c r="F182" t="str">
        <f t="shared" ref="F182" si="34">IF(LEN(B182) &lt;&gt; 0, "=" &amp; B182 &amp; "(" &amp; "(" &amp; E182 &amp; "))", "$$$$")</f>
        <v>=test_pd_create_series(())</v>
      </c>
      <c r="H182">
        <v>5</v>
      </c>
      <c r="I182" s="6"/>
      <c r="L182" t="str" cm="1">
        <f t="array" ref="L182">test_pd_create_series($H$182:$H$184)</f>
        <v>PyObj&lt;Sheet1$L$1826c8fa34e2d24fa29d2acc146128f97266be2f479e57c35a5d035aa9228a1a5c9&gt;</v>
      </c>
      <c r="M182" t="str" cm="1">
        <f t="array" ref="M182">pytype(L182)</f>
        <v>&lt;class 'pandas.core.series.Series'&gt;</v>
      </c>
      <c r="N182" cm="1">
        <f t="array" ref="N182:N184">show(L182)</f>
        <v>5</v>
      </c>
    </row>
    <row r="183" spans="2:20" x14ac:dyDescent="0.25">
      <c r="H183">
        <v>2</v>
      </c>
      <c r="I183" s="6"/>
      <c r="N183">
        <v>2</v>
      </c>
    </row>
    <row r="184" spans="2:20" x14ac:dyDescent="0.25">
      <c r="H184">
        <v>3</v>
      </c>
      <c r="I184" s="6"/>
      <c r="N184">
        <v>3</v>
      </c>
    </row>
    <row r="186" spans="2:20" x14ac:dyDescent="0.25">
      <c r="B186" t="s">
        <v>41</v>
      </c>
      <c r="D186" t="s">
        <v>32</v>
      </c>
      <c r="F186" t="str">
        <f t="shared" ref="F186" si="35">IF(LEN(B186) &lt;&gt; 0, "=" &amp; B186 &amp; "(" &amp; "(" &amp; E186 &amp; "))", "$$$$")</f>
        <v>=test_condensed_1(())</v>
      </c>
    </row>
    <row r="187" spans="2:20" x14ac:dyDescent="0.25">
      <c r="H187">
        <v>1</v>
      </c>
      <c r="I187">
        <v>4</v>
      </c>
      <c r="L187" t="str" cm="1">
        <f t="array" ref="L187">test_condensed_1(H187:I189)</f>
        <v>PyObj&lt;Sheet1$L$1870a4d2e91b3206ddb2660eacee1a38d3d06373bfa8f6e768e9532f34812d66180&gt;</v>
      </c>
      <c r="M187" t="str" cm="1">
        <f t="array" ref="M187">pytype(L187)</f>
        <v>&lt;class 'list'&gt;</v>
      </c>
      <c r="T187" t="s">
        <v>42</v>
      </c>
    </row>
    <row r="188" spans="2:20" x14ac:dyDescent="0.25">
      <c r="H188">
        <v>2</v>
      </c>
      <c r="I188">
        <v>5</v>
      </c>
    </row>
    <row r="189" spans="2:20" x14ac:dyDescent="0.25">
      <c r="H189">
        <v>3</v>
      </c>
      <c r="I189">
        <v>6</v>
      </c>
    </row>
    <row r="191" spans="2:20" x14ac:dyDescent="0.25">
      <c r="B191" t="s">
        <v>49</v>
      </c>
      <c r="D191" t="s">
        <v>43</v>
      </c>
      <c r="E191" t="str" cm="1">
        <f t="array" aca="1" ref="E191" ca="1">CELL("address", H191)</f>
        <v>$H$191</v>
      </c>
      <c r="F191" t="str">
        <f t="shared" ref="F191:F207" ca="1" si="36">IF(LEN(B191) &lt;&gt; 0, "=" &amp; B191 &amp; "(" &amp; "(" &amp; E191 &amp; "))", "$$$$")</f>
        <v>=list_expansion_test_pyobjects(($H$191))</v>
      </c>
      <c r="H191">
        <v>1</v>
      </c>
      <c r="L191" t="str" cm="1">
        <f t="array" ref="L191:L194">list_expansion_test_pyobjects(($H$191))</f>
        <v>PyObj&lt;Sheet1$L$191cf1ecea68b0bfa7eeae9003e86259cb1aab3e66b6f716496714b3a27ebebdb89&gt;_0</v>
      </c>
      <c r="T191" t="s">
        <v>44</v>
      </c>
    </row>
    <row r="192" spans="2:20" x14ac:dyDescent="0.25">
      <c r="F192" t="str">
        <f>IF(LEN(B192) &lt;&gt; 0, "=" &amp; B192 &amp; "(" &amp; "(" &amp; E192 &amp; "))", "$$$$")</f>
        <v>$$$$</v>
      </c>
      <c r="L192" t="str">
        <v>PyObj&lt;Sheet1$L$191cf1ecea68b0bfa7eeae9003e86259cb1aab3e66b6f716496714b3a27ebebdb89&gt;_1</v>
      </c>
    </row>
    <row r="193" spans="2:20" x14ac:dyDescent="0.25">
      <c r="F193" t="str">
        <f t="shared" si="36"/>
        <v>$$$$</v>
      </c>
      <c r="L193" t="str">
        <v>PyObj&lt;Sheet1$L$191cf1ecea68b0bfa7eeae9003e86259cb1aab3e66b6f716496714b3a27ebebdb89&gt;_2</v>
      </c>
    </row>
    <row r="194" spans="2:20" x14ac:dyDescent="0.25">
      <c r="F194" t="str">
        <f t="shared" si="36"/>
        <v>$$$$</v>
      </c>
      <c r="L194" t="str">
        <v>PyObj&lt;Sheet1$L$191cf1ecea68b0bfa7eeae9003e86259cb1aab3e66b6f716496714b3a27ebebdb89&gt;_3</v>
      </c>
    </row>
    <row r="195" spans="2:20" x14ac:dyDescent="0.25">
      <c r="F195" t="str">
        <f t="shared" si="36"/>
        <v>$$$$</v>
      </c>
    </row>
    <row r="196" spans="2:20" x14ac:dyDescent="0.25">
      <c r="B196" t="s">
        <v>45</v>
      </c>
      <c r="E196" t="str" cm="1">
        <f t="array" aca="1" ref="E196" ca="1">CELL("address", H196)</f>
        <v>$H$196</v>
      </c>
      <c r="F196" t="str">
        <f t="shared" ca="1" si="36"/>
        <v>=list_expansion_test_int(($H$196))</v>
      </c>
      <c r="H196">
        <v>1</v>
      </c>
      <c r="L196" cm="1">
        <f t="array" ref="L196:L198">list_expansion_test_int(($H$196))</f>
        <v>2</v>
      </c>
    </row>
    <row r="197" spans="2:20" x14ac:dyDescent="0.25">
      <c r="F197" t="str">
        <f t="shared" si="36"/>
        <v>$$$$</v>
      </c>
      <c r="L197">
        <v>3</v>
      </c>
    </row>
    <row r="198" spans="2:20" x14ac:dyDescent="0.25">
      <c r="F198" t="str">
        <f t="shared" si="36"/>
        <v>$$$$</v>
      </c>
      <c r="L198">
        <v>0</v>
      </c>
    </row>
    <row r="199" spans="2:20" x14ac:dyDescent="0.25">
      <c r="F199" t="str">
        <f t="shared" si="36"/>
        <v>$$$$</v>
      </c>
    </row>
    <row r="200" spans="2:20" x14ac:dyDescent="0.25">
      <c r="B200" t="s">
        <v>46</v>
      </c>
      <c r="E200" t="str" cm="1">
        <f t="array" aca="1" ref="E200" ca="1">CELL("address", H200)</f>
        <v>$H$200</v>
      </c>
      <c r="F200" t="str">
        <f t="shared" ca="1" si="36"/>
        <v>=list_expansion_test_float(($H$200))</v>
      </c>
      <c r="H200">
        <v>1</v>
      </c>
      <c r="L200" cm="1">
        <f t="array" ref="L200:L202">list_expansion_test_float(($H$200))</f>
        <v>0.37287704891578255</v>
      </c>
    </row>
    <row r="201" spans="2:20" x14ac:dyDescent="0.25">
      <c r="F201" t="str">
        <f t="shared" si="36"/>
        <v>$$$$</v>
      </c>
      <c r="L201">
        <v>0.80283829139228147</v>
      </c>
    </row>
    <row r="202" spans="2:20" x14ac:dyDescent="0.25">
      <c r="F202" t="str">
        <f t="shared" si="36"/>
        <v>$$$$</v>
      </c>
      <c r="L202">
        <v>0.328457627997506</v>
      </c>
    </row>
    <row r="203" spans="2:20" x14ac:dyDescent="0.25">
      <c r="F203" t="str">
        <f t="shared" si="36"/>
        <v>$$$$</v>
      </c>
    </row>
    <row r="204" spans="2:20" x14ac:dyDescent="0.25">
      <c r="B204" t="s">
        <v>47</v>
      </c>
      <c r="E204" t="str" cm="1">
        <f t="array" aca="1" ref="E204" ca="1">CELL("address", H204)</f>
        <v>$H$204</v>
      </c>
      <c r="F204" t="str">
        <f t="shared" ca="1" si="36"/>
        <v>=list_expansion_test_bool(($H$204))</v>
      </c>
      <c r="H204">
        <v>1</v>
      </c>
      <c r="L204" cm="1">
        <f t="array" ref="L204:L206">list_expansion_test_bool(($H$204))</f>
        <v>0</v>
      </c>
    </row>
    <row r="205" spans="2:20" x14ac:dyDescent="0.25">
      <c r="F205" t="str">
        <f t="shared" si="36"/>
        <v>$$$$</v>
      </c>
      <c r="L205">
        <v>0</v>
      </c>
    </row>
    <row r="206" spans="2:20" x14ac:dyDescent="0.25">
      <c r="F206" t="str">
        <f t="shared" si="36"/>
        <v>$$$$</v>
      </c>
      <c r="L206">
        <v>0</v>
      </c>
    </row>
    <row r="207" spans="2:20" x14ac:dyDescent="0.25">
      <c r="B207" s="4" t="s">
        <v>48</v>
      </c>
      <c r="E207" t="str" cm="1">
        <f t="array" aca="1" ref="E207" ca="1">CELL("address", H207)</f>
        <v>$H$207</v>
      </c>
      <c r="F207" t="str">
        <f t="shared" ca="1" si="36"/>
        <v>=list_expansion_test_datetime_datetime(($H$207))</v>
      </c>
      <c r="H207">
        <v>3</v>
      </c>
      <c r="L207" t="str" cm="1">
        <f t="array" ref="L207:L209">list_expansion_test_datetime_datetime(($H$207))</f>
        <v>PyObj&lt;Sheet1$L$2071c888edc68a54182f37c382c5dfb4e5c92008acac7d54ce9c4f5e04355676f4d&gt;_0</v>
      </c>
      <c r="M207" cm="1">
        <f t="array" ref="M207">show(L207)</f>
        <v>45850.788919357234</v>
      </c>
      <c r="T207" t="s">
        <v>51</v>
      </c>
    </row>
    <row r="208" spans="2:20" x14ac:dyDescent="0.25">
      <c r="L208" t="str">
        <v>PyObj&lt;Sheet1$L$2071c888edc68a54182f37c382c5dfb4e5c92008acac7d54ce9c4f5e04355676f4d&gt;_1</v>
      </c>
      <c r="M208" cm="1">
        <f t="array" ref="M208">show(L208)</f>
        <v>45851.788919357306</v>
      </c>
    </row>
    <row r="209" spans="2:20" x14ac:dyDescent="0.25">
      <c r="L209" t="str">
        <v>PyObj&lt;Sheet1$L$2071c888edc68a54182f37c382c5dfb4e5c92008acac7d54ce9c4f5e04355676f4d&gt;_2</v>
      </c>
      <c r="M209" cm="1">
        <f t="array" ref="M209">show(L209)</f>
        <v>45852.788919357328</v>
      </c>
    </row>
    <row r="210" spans="2:20" x14ac:dyDescent="0.25">
      <c r="B210" t="s">
        <v>50</v>
      </c>
      <c r="E210" t="str" cm="1">
        <f t="array" aca="1" ref="E210" ca="1">CELL("address", H210)</f>
        <v>$H$210</v>
      </c>
      <c r="F210" t="str">
        <f t="shared" ref="F210" ca="1" si="37">IF(LEN(B210) &lt;&gt; 0, "=" &amp; B210 &amp; "(" &amp; "(" &amp; E210 &amp; "))", "$$$$")</f>
        <v>=list_expansion_test_np_datetime(($H$210))</v>
      </c>
      <c r="H210">
        <v>5</v>
      </c>
      <c r="L210" t="str" cm="1">
        <f t="array" ref="L210:L212">list_expansion_test_np_datetime($H$210)</f>
        <v>PyObj&lt;Sheet1$L$2106938676e28b9e81a7aeb3e847023c8a616c4f4a188771c7ae80683b2bd1dbabd&gt;_0</v>
      </c>
      <c r="M210" cm="1">
        <f t="array" ref="M210">show(L210)</f>
        <v>45850.788916572012</v>
      </c>
    </row>
    <row r="211" spans="2:20" x14ac:dyDescent="0.25">
      <c r="L211" t="str">
        <v>PyObj&lt;Sheet1$L$2106938676e28b9e81a7aeb3e847023c8a616c4f4a188771c7ae80683b2bd1dbabd&gt;_1</v>
      </c>
      <c r="M211" cm="1">
        <f t="array" ref="M211">show(L211)</f>
        <v>45851.788916572186</v>
      </c>
    </row>
    <row r="212" spans="2:20" x14ac:dyDescent="0.25">
      <c r="L212" t="str">
        <v>PyObj&lt;Sheet1$L$2106938676e28b9e81a7aeb3e847023c8a616c4f4a188771c7ae80683b2bd1dbabd&gt;_2</v>
      </c>
      <c r="M212" cm="1">
        <f t="array" ref="M212">show(L212)</f>
        <v>45852.788916572244</v>
      </c>
    </row>
    <row r="214" spans="2:20" x14ac:dyDescent="0.25">
      <c r="B214" t="s">
        <v>52</v>
      </c>
      <c r="H214">
        <v>1</v>
      </c>
      <c r="L214" t="e" cm="1">
        <f t="array" aca="1" ref="L214" ca="1">test_ignore_function(H214)</f>
        <v>#NAME?</v>
      </c>
      <c r="T214" t="s">
        <v>53</v>
      </c>
    </row>
    <row r="218" spans="2:20" x14ac:dyDescent="0.25">
      <c r="B218" t="s">
        <v>54</v>
      </c>
      <c r="H218">
        <v>1</v>
      </c>
      <c r="L218" t="str" cm="1">
        <f t="array" ref="L218">create_dataframe_basic(H218)</f>
        <v>PyObj&lt;Sheet1$L$218e8490651c0b230836eff46fb50b15efd60ae1bfcec960482fa8ddd64b6f277b4&gt;</v>
      </c>
      <c r="M218" t="str" cm="1">
        <f t="array" ref="M218">pytype(L218)</f>
        <v>&lt;class 'pandas.core.frame.DataFrame'&gt;</v>
      </c>
    </row>
    <row r="219" spans="2:20" x14ac:dyDescent="0.25">
      <c r="B219" t="s">
        <v>55</v>
      </c>
      <c r="H219">
        <v>1</v>
      </c>
      <c r="L219" t="str" cm="1">
        <f t="array" ref="L219">create_dataframe_with_datetime(H219)</f>
        <v>PyObj&lt;Sheet1$L$2198cf3f30719e44e8d0115f484c5a25d37e4ff29c761bc40bfb4e5dde382927f99&gt;</v>
      </c>
      <c r="M219" t="str" cm="1">
        <f t="array" ref="M219">pytype(L219)</f>
        <v>&lt;class 'pandas.core.frame.DataFrame'&gt;</v>
      </c>
    </row>
    <row r="220" spans="2:20" x14ac:dyDescent="0.25">
      <c r="B220" t="s">
        <v>56</v>
      </c>
      <c r="H220">
        <v>1</v>
      </c>
      <c r="L220" t="str" cm="1">
        <f t="array" ref="L220">create_dataframe_with_multiindex(H220)</f>
        <v>PyObj&lt;Sheet1$L$220944b182d8656a35093ffc7094721e9be72ce3955075d3cad98aae7fe6071f242&gt;</v>
      </c>
      <c r="M220" t="str" cm="1">
        <f t="array" ref="M220">pytype(L220)</f>
        <v>&lt;class 'pandas.core.frame.DataFrame'&gt;</v>
      </c>
    </row>
    <row r="223" spans="2:20" x14ac:dyDescent="0.25">
      <c r="H223" t="s">
        <v>60</v>
      </c>
      <c r="I223" t="s">
        <v>57</v>
      </c>
      <c r="J223" t="s">
        <v>58</v>
      </c>
    </row>
    <row r="224" spans="2:20" x14ac:dyDescent="0.25">
      <c r="B224" t="str">
        <f ca="1">_xlfn.FORMULATEXT(L224)</f>
        <v>=create_table_from_df(I224, J224, TRUE)</v>
      </c>
      <c r="H224">
        <v>1</v>
      </c>
      <c r="I224" t="str" cm="1">
        <f t="array" ref="I224">create_dataframe_with_multiindex(H224)</f>
        <v>PyObj&lt;Sheet1$I$224944b182d8656a35093ffc7094721e9be72ce3955075d3cad98aae7fe6071f242&gt;</v>
      </c>
      <c r="J224" t="s">
        <v>59</v>
      </c>
      <c r="L224" t="str" cm="1">
        <f t="array" ref="L224">create_table_from_df(I224, J224, TRUE)</f>
        <v>xlTable("mytbl1" @ 'Sheet1'!$N$224:$P$224)</v>
      </c>
      <c r="N224" t="s">
        <v>62</v>
      </c>
      <c r="O224" t="s">
        <v>63</v>
      </c>
      <c r="P224" t="s">
        <v>64</v>
      </c>
    </row>
    <row r="225" spans="2:16" x14ac:dyDescent="0.25">
      <c r="N225">
        <v>0.71070834249922965</v>
      </c>
      <c r="O225">
        <v>0.12231194572303405</v>
      </c>
      <c r="P225">
        <v>0.60699226926722194</v>
      </c>
    </row>
    <row r="226" spans="2:16" x14ac:dyDescent="0.25">
      <c r="N226">
        <v>0.26986125386958804</v>
      </c>
      <c r="O226">
        <v>0.44711927316299016</v>
      </c>
      <c r="P226">
        <v>0.21051305551256816</v>
      </c>
    </row>
    <row r="227" spans="2:16" x14ac:dyDescent="0.25">
      <c r="N227">
        <v>0.82125988311735698</v>
      </c>
      <c r="O227">
        <v>0.54092595815616551</v>
      </c>
      <c r="P227">
        <v>0.31590777260490155</v>
      </c>
    </row>
    <row r="229" spans="2:16" x14ac:dyDescent="0.25">
      <c r="B229" t="str">
        <f ca="1">_xlfn.FORMULATEXT(L229)</f>
        <v>=test_create_table_from_df_multiindex_success1(I229,J229)</v>
      </c>
      <c r="H229">
        <v>3</v>
      </c>
      <c r="I229" t="str" cm="1">
        <f t="array" ref="I229">create_dataframe_with_multiindex(H229)</f>
        <v>PyObj&lt;Sheet1$I$22967f417b6b2eebc519e038ba81faf7e652b925f04adcb4dab46a15201fc2c2d6a&gt;</v>
      </c>
      <c r="J229" t="s">
        <v>61</v>
      </c>
      <c r="L229" s="8" t="str" cm="1">
        <f t="array" ref="L229">test_create_table_from_df_multiindex_success1(I229,J229)</f>
        <v>xlTable("mytbl2" @ 'Sheet1'!$N$229:$P$229)</v>
      </c>
      <c r="N229" t="s">
        <v>62</v>
      </c>
      <c r="O229" t="s">
        <v>63</v>
      </c>
      <c r="P229" t="s">
        <v>64</v>
      </c>
    </row>
    <row r="230" spans="2:16" x14ac:dyDescent="0.25">
      <c r="N230">
        <v>0.54301375687002762</v>
      </c>
      <c r="O230">
        <v>0.25202478325366251</v>
      </c>
      <c r="P230">
        <v>0.19359747597137289</v>
      </c>
    </row>
    <row r="231" spans="2:16" x14ac:dyDescent="0.25">
      <c r="N231">
        <v>0.26986285392940901</v>
      </c>
      <c r="O231">
        <v>0.15601506553806688</v>
      </c>
      <c r="P231">
        <v>0.26452467341757224</v>
      </c>
    </row>
    <row r="232" spans="2:16" x14ac:dyDescent="0.25">
      <c r="N232">
        <v>0.90331745535796082</v>
      </c>
      <c r="O232">
        <v>0.18586912796919719</v>
      </c>
      <c r="P232">
        <v>0.78950594490861792</v>
      </c>
    </row>
    <row r="234" spans="2:16" x14ac:dyDescent="0.25">
      <c r="H234" t="s">
        <v>60</v>
      </c>
      <c r="I234" t="s">
        <v>57</v>
      </c>
      <c r="J234" t="s">
        <v>58</v>
      </c>
    </row>
    <row r="235" spans="2:16" x14ac:dyDescent="0.25">
      <c r="B235" t="str">
        <f ca="1">_xlfn.FORMULATEXT(L235)</f>
        <v>=create_table_from_df(I235, J235, TRUE)</v>
      </c>
      <c r="H235">
        <v>2</v>
      </c>
      <c r="I235" t="str" cm="1">
        <f t="array" ref="I235">create_dataframe_with_multiindex(H235)</f>
        <v>PyObj&lt;Sheet1$I$235214d9a90c66afd14fa4f60a26ce7562b84afa48457f853129aca0156b2b36ef6&gt;</v>
      </c>
      <c r="J235" t="s">
        <v>65</v>
      </c>
      <c r="L235" t="str" cm="1">
        <f t="array" ref="L235">create_table_from_df(I235, J235, TRUE)</f>
        <v>ValueError("Table 'mytabl3' not found.")</v>
      </c>
    </row>
  </sheetData>
  <phoneticPr fontId="3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A54B-B937-4762-98CE-BBD0E864B566}">
  <sheetPr codeName="Sheet3"/>
  <dimension ref="D4:H8"/>
  <sheetViews>
    <sheetView workbookViewId="0">
      <selection activeCell="G4" sqref="G4"/>
    </sheetView>
  </sheetViews>
  <sheetFormatPr defaultRowHeight="15" x14ac:dyDescent="0.25"/>
  <sheetData>
    <row r="4" spans="4:8" x14ac:dyDescent="0.25">
      <c r="D4">
        <v>1</v>
      </c>
      <c r="E4">
        <f>D4*2</f>
        <v>2</v>
      </c>
      <c r="F4">
        <f>E4*2</f>
        <v>4</v>
      </c>
      <c r="G4">
        <f>F4*2</f>
        <v>8</v>
      </c>
      <c r="H4">
        <f>G4*2</f>
        <v>16</v>
      </c>
    </row>
    <row r="5" spans="4:8" x14ac:dyDescent="0.25">
      <c r="D5">
        <v>2</v>
      </c>
      <c r="E5">
        <f t="shared" ref="E5:F12" si="0">D5*2</f>
        <v>4</v>
      </c>
      <c r="F5">
        <f t="shared" ref="F5:H5" si="1">E5*2</f>
        <v>8</v>
      </c>
      <c r="G5">
        <f t="shared" si="1"/>
        <v>16</v>
      </c>
      <c r="H5">
        <f t="shared" si="1"/>
        <v>32</v>
      </c>
    </row>
    <row r="6" spans="4:8" x14ac:dyDescent="0.25">
      <c r="D6">
        <v>3</v>
      </c>
      <c r="E6">
        <f t="shared" si="0"/>
        <v>6</v>
      </c>
      <c r="F6">
        <f t="shared" ref="F6:H6" si="2">E6*2</f>
        <v>12</v>
      </c>
      <c r="G6">
        <f t="shared" si="2"/>
        <v>24</v>
      </c>
      <c r="H6">
        <f t="shared" si="2"/>
        <v>48</v>
      </c>
    </row>
    <row r="7" spans="4:8" x14ac:dyDescent="0.25">
      <c r="D7">
        <v>4</v>
      </c>
      <c r="E7">
        <f t="shared" si="0"/>
        <v>8</v>
      </c>
      <c r="F7">
        <f t="shared" ref="F7:H7" si="3">E7*2</f>
        <v>16</v>
      </c>
      <c r="G7">
        <f t="shared" si="3"/>
        <v>32</v>
      </c>
      <c r="H7">
        <f t="shared" si="3"/>
        <v>64</v>
      </c>
    </row>
    <row r="8" spans="4:8" x14ac:dyDescent="0.25">
      <c r="D8">
        <v>5</v>
      </c>
      <c r="E8">
        <f t="shared" si="0"/>
        <v>10</v>
      </c>
      <c r="F8">
        <f t="shared" ref="F8:H8" si="4">E8*2</f>
        <v>20</v>
      </c>
      <c r="G8">
        <f t="shared" si="4"/>
        <v>40</v>
      </c>
      <c r="H8">
        <f t="shared" si="4"/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Sheet3</vt:lpstr>
      <vt:lpstr>Functions</vt:lpstr>
      <vt:lpstr>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Evans</dc:creator>
  <cp:lastModifiedBy>Daniel Evans</cp:lastModifiedBy>
  <dcterms:created xsi:type="dcterms:W3CDTF">2025-07-11T12:51:03Z</dcterms:created>
  <dcterms:modified xsi:type="dcterms:W3CDTF">2025-07-12T17:58:20Z</dcterms:modified>
</cp:coreProperties>
</file>
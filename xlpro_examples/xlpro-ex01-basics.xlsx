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niel Evans\projects\xlpro\xlpro_examples\"/>
    </mc:Choice>
  </mc:AlternateContent>
  <xr:revisionPtr revIDLastSave="0" documentId="13_ncr:1_{9F6F31E0-BF26-4C78-806F-2FF0049A3227}" xr6:coauthVersionLast="47" xr6:coauthVersionMax="47" xr10:uidLastSave="{00000000-0000-0000-0000-000000000000}"/>
  <bookViews>
    <workbookView xWindow="19200" yWindow="0" windowWidth="19200" windowHeight="21000" xr2:uid="{6E9394D3-1908-4984-B373-92B4E72AC2C6}"/>
  </bookViews>
  <sheets>
    <sheet name="Sheet1" sheetId="1" r:id="rId1"/>
  </sheets>
  <definedNames>
    <definedName name="args_adder_or_subtractor">{"a";"b";"do_add"}</definedName>
    <definedName name="args_condense">"iterable_val"</definedName>
    <definedName name="args_cpy">"val"</definedName>
    <definedName name="args_create_matplotlib_figure">{"xdata";"ydata";"linelabel"}</definedName>
    <definedName name="args_custom_adder">{"a";"b"}</definedName>
    <definedName name="args_custom_adder_always_vector">{"vector";"constant"}</definedName>
    <definedName name="args_custom_adder_matrix">{"matrix";"constant"}</definedName>
    <definedName name="args_deepcpy">"val"</definedName>
    <definedName name="args_get_banana_price">""</definedName>
    <definedName name="args_hello">"name"</definedName>
    <definedName name="args_pyadd">{"val";"rhs"}</definedName>
    <definedName name="args_pydiv">{"val";"rhs"}</definedName>
    <definedName name="args_pyeq">{"val";"rhs"}</definedName>
    <definedName name="args_pyge">{"val";"rhs"}</definedName>
    <definedName name="args_pygetattr">{"obj";"attrname";"default"}</definedName>
    <definedName name="args_pygetitem">{"obj";"val"}</definedName>
    <definedName name="args_pygt">{"val";"rhs"}</definedName>
    <definedName name="args_pyhash">"vals"</definedName>
    <definedName name="args_pyle">{"val";"rhs"}</definedName>
    <definedName name="args_pylen">"val"</definedName>
    <definedName name="args_pylt">{"val";"rhs"}</definedName>
    <definedName name="args_pymod">{"val";"rhs"}</definedName>
    <definedName name="args_pymul">{"val";"rhs"}</definedName>
    <definedName name="args_pyne">{"val";"rhs"}</definedName>
    <definedName name="args_pynot">"val"</definedName>
    <definedName name="args_pypow">{"val";"exp"}</definedName>
    <definedName name="args_pyrepr">"val"</definedName>
    <definedName name="args_pyshape">"val"</definedName>
    <definedName name="args_pystr">"val"</definedName>
    <definedName name="args_pysub">{"val";"rhs"}</definedName>
    <definedName name="args_pytype">"val"</definedName>
    <definedName name="args_show">"val"</definedName>
    <definedName name="args_show_image">{"val";"name";"seed"}</definedName>
    <definedName name="fname_adder_or_subtractor">"adder_or_subtractor"</definedName>
    <definedName name="fname_condense">"condense"</definedName>
    <definedName name="fname_cpy">"cpy"</definedName>
    <definedName name="fname_create_matplotlib_figure">"create_matplotlib_figure"</definedName>
    <definedName name="fname_custom_adder">"custom_adder"</definedName>
    <definedName name="fname_custom_adder_always_vector">"custom_adder_always_vector"</definedName>
    <definedName name="fname_custom_adder_matrix">"custom_adder_matrix"</definedName>
    <definedName name="fname_deepcpy">"deepcpy"</definedName>
    <definedName name="fname_get_banana_price">"get_banana_price"</definedName>
    <definedName name="fname_hello">"hello"</definedName>
    <definedName name="fname_pyadd">"pyadd"</definedName>
    <definedName name="fname_pydiv">"pydiv"</definedName>
    <definedName name="fname_pyeq">"pyeq"</definedName>
    <definedName name="fname_pyge">"pyge"</definedName>
    <definedName name="fname_pygetattr">"pygetattr"</definedName>
    <definedName name="fname_pygetitem">"pygetitem"</definedName>
    <definedName name="fname_pygt">"pygt"</definedName>
    <definedName name="fname_pyhash">"pyhash"</definedName>
    <definedName name="fname_pyle">"pyle"</definedName>
    <definedName name="fname_pylen">"pylen"</definedName>
    <definedName name="fname_pylt">"pylt"</definedName>
    <definedName name="fname_pymod">"pymod"</definedName>
    <definedName name="fname_pymul">"pymul"</definedName>
    <definedName name="fname_pyne">"pyne"</definedName>
    <definedName name="fname_pynot">"pynot"</definedName>
    <definedName name="fname_pypow">"pypow"</definedName>
    <definedName name="fname_pyrepr">"pyrepr"</definedName>
    <definedName name="fname_pyshape">"pyshape"</definedName>
    <definedName name="fname_pystr">"pystr"</definedName>
    <definedName name="fname_pysub">"pysub"</definedName>
    <definedName name="fname_pytype">"pytype"</definedName>
    <definedName name="fname_show">"show"</definedName>
    <definedName name="fname_show_image">"show_image"</definedName>
    <definedName name="pyEmpty">"pyEmpty"</definedName>
    <definedName name="pyNone">"pyNone"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1" l="1"/>
  <c r="B79" i="1" a="1"/>
  <c r="B79" i="1" s="1"/>
  <c r="C79" i="1" s="1" a="1"/>
  <c r="C79" i="1" s="1"/>
  <c r="D28" i="1"/>
  <c r="B20" i="1" a="1"/>
  <c r="B20" i="1" s="1"/>
  <c r="B27" i="1" a="1"/>
  <c r="B27" i="1" s="1"/>
  <c r="K69" i="1" a="1"/>
  <c r="G70" i="1" a="1"/>
  <c r="K53" i="1" a="1"/>
  <c r="G54" i="1" a="1"/>
  <c r="E83" i="1" a="1"/>
  <c r="G48" i="1" a="1"/>
  <c r="K47" i="1" a="1"/>
  <c r="K50" i="1" a="1"/>
  <c r="G51" i="1" a="1"/>
  <c r="E79" i="1" a="1"/>
  <c r="G66" i="1" a="1"/>
  <c r="K65" i="1" a="1"/>
  <c r="G69" i="1" a="1"/>
  <c r="G53" i="1" a="1"/>
  <c r="G47" i="1" a="1"/>
  <c r="G50" i="1" a="1"/>
  <c r="E78" i="1" a="1"/>
  <c r="E30" i="1" a="1"/>
  <c r="E28" i="1" a="1"/>
  <c r="G65" i="1" a="1"/>
  <c r="D22" i="1" a="1"/>
  <c r="E29" i="1" a="1"/>
  <c r="D21" i="1" a="1"/>
  <c r="G62" i="1" a="1"/>
  <c r="D23" i="1" a="1"/>
  <c r="E22" i="1"/>
  <c r="F28" i="1"/>
  <c r="F30" i="1"/>
  <c r="F29" i="1"/>
  <c r="E21" i="1"/>
  <c r="K69" i="1" l="1"/>
  <c r="G70" i="1"/>
  <c r="K53" i="1"/>
  <c r="G54" i="1"/>
  <c r="E83" i="1"/>
  <c r="G48" i="1"/>
  <c r="K47" i="1"/>
  <c r="K50" i="1"/>
  <c r="G51" i="1"/>
  <c r="E79" i="1"/>
  <c r="G66" i="1"/>
  <c r="K65" i="1"/>
  <c r="G69" i="1"/>
  <c r="G53" i="1"/>
  <c r="G47" i="1"/>
  <c r="G50" i="1"/>
  <c r="E78" i="1"/>
  <c r="E30" i="1"/>
  <c r="E28" i="1"/>
  <c r="G65" i="1"/>
  <c r="D22" i="1"/>
  <c r="E29" i="1"/>
  <c r="D21" i="1"/>
  <c r="G62" i="1"/>
  <c r="D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<sst xmlns="http://schemas.openxmlformats.org/spreadsheetml/2006/main" count="33" uniqueCount="28">
  <si>
    <t>custom_adder()</t>
  </si>
  <si>
    <t>custom_adder_matrix()</t>
  </si>
  <si>
    <t>constant</t>
  </si>
  <si>
    <t>matrix</t>
  </si>
  <si>
    <t>custom_adder_always_vector()</t>
  </si>
  <si>
    <t>vector</t>
  </si>
  <si>
    <t>adder_or_subtractor()</t>
  </si>
  <si>
    <t>xlpro-ex01-basics.xlsx</t>
  </si>
  <si>
    <t>i</t>
  </si>
  <si>
    <t>1. Creating a function</t>
  </si>
  <si>
    <t>2. Optional arguments</t>
  </si>
  <si>
    <t>3. Showing array results</t>
  </si>
  <si>
    <t>4. Argument type casting.</t>
  </si>
  <si>
    <t>5. Showing a matplotlib figure</t>
  </si>
  <si>
    <t>create_matplotlib_figure()</t>
  </si>
  <si>
    <t>xdata</t>
  </si>
  <si>
    <t>ydata</t>
  </si>
  <si>
    <t>figure1</t>
  </si>
  <si>
    <t>name</t>
  </si>
  <si>
    <t>seed</t>
  </si>
  <si>
    <t># define a unique image name for the workbook</t>
  </si>
  <si>
    <t>pow</t>
  </si>
  <si>
    <t>This example file covers the following</t>
  </si>
  <si>
    <t>output</t>
  </si>
  <si>
    <t>input</t>
  </si>
  <si>
    <t>Key:</t>
  </si>
  <si>
    <t>linelabel</t>
  </si>
  <si>
    <t># Use this field to force a figure re-show (we can drive this this via a formula in future)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</si>
</sst>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  <font>
      <b/>
      <sz val="10"/>
      <color theme="1"/>
      <name val="Consolas"/>
      <family val="3"/>
    </font>
    <font>
      <sz val="11"/>
      <color theme="0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F"/>
        <bgColor indexed="64"/>
      </patternFill>
    </fill>
    <fill>
      <patternFill patternType="solid">
        <fgColor rgb="FFDCE2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left" indent="2"/>
    </xf>
    <xf numFmtId="0" fontId="3" fillId="3" borderId="0" xfId="0" applyFont="1" applyFill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E2FF"/>
      <color rgb="FFEEF1FF"/>
      <color rgb="FF526C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223813</xdr:colOff>
      <xdr:row>29</xdr:row>
      <xdr:rowOff>18716</xdr:rowOff>
    </xdr:from>
    <xdr:to>
      <xdr:col>14</xdr:col>
      <xdr:colOff>399821</xdr:colOff>
      <xdr:row>41</xdr:row>
      <xdr:rowOff>26400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DF41CF4-A977-CB75-AB97-E3FEA7497768}"/>
            </a:ext>
          </a:extLst>
        </xdr:cNvPr>
        <xdr:cNvGrpSpPr/>
      </xdr:nvGrpSpPr>
      <xdr:grpSpPr>
        <a:xfrm>
          <a:off x="5669872" y="5543216"/>
          <a:ext cx="3201596" cy="2293684"/>
          <a:chOff x="5594578" y="4920377"/>
          <a:chExt cx="3224992" cy="2293684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C3AEF0AB-59A4-BF43-E8FB-F0AAB45A99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594578" y="4920377"/>
            <a:ext cx="3224992" cy="2293684"/>
          </a:xfrm>
          <a:prstGeom prst="rect">
            <a:avLst/>
          </a:prstGeom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693FAEB-B23F-5B28-A1D5-69F60C84F360}"/>
              </a:ext>
            </a:extLst>
          </xdr:cNvPr>
          <xdr:cNvSpPr/>
        </xdr:nvSpPr>
        <xdr:spPr>
          <a:xfrm>
            <a:off x="5950404" y="4961843"/>
            <a:ext cx="180000" cy="180000"/>
          </a:xfrm>
          <a:prstGeom prst="rect">
            <a:avLst/>
          </a:prstGeom>
          <a:noFill/>
          <a:ln>
            <a:solidFill>
              <a:srgbClr val="EE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Z" sz="1100"/>
          </a:p>
        </xdr:txBody>
      </xdr:sp>
    </xdr:grpSp>
    <xdr:clientData/>
  </xdr:twoCellAnchor>
  <xdr:twoCellAnchor>
    <xdr:from>
      <xdr:col>11</xdr:col>
      <xdr:colOff>168087</xdr:colOff>
      <xdr:row>51</xdr:row>
      <xdr:rowOff>157856</xdr:rowOff>
    </xdr:from>
    <xdr:to>
      <xdr:col>14</xdr:col>
      <xdr:colOff>526677</xdr:colOff>
      <xdr:row>56</xdr:row>
      <xdr:rowOff>11205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37CA2D1-B483-DE35-7794-AE57D0CD24C5}"/>
            </a:ext>
          </a:extLst>
        </xdr:cNvPr>
        <xdr:cNvSpPr txBox="1"/>
      </xdr:nvSpPr>
      <xdr:spPr>
        <a:xfrm>
          <a:off x="6824381" y="9301856"/>
          <a:ext cx="2173943" cy="8058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/>
            <a:t>xlpro.show()</a:t>
          </a:r>
        </a:p>
        <a:p>
          <a:r>
            <a:rPr lang="en-NZ" sz="1100"/>
            <a:t>The show()</a:t>
          </a:r>
          <a:r>
            <a:rPr lang="en-NZ" sz="1100" baseline="0"/>
            <a:t> method returns the array representation of the numpy array.</a:t>
          </a:r>
          <a:endParaRPr lang="en-NZ" sz="1100"/>
        </a:p>
      </xdr:txBody>
    </xdr:sp>
    <xdr:clientData/>
  </xdr:twoCellAnchor>
  <xdr:twoCellAnchor>
    <xdr:from>
      <xdr:col>11</xdr:col>
      <xdr:colOff>54565</xdr:colOff>
      <xdr:row>73</xdr:row>
      <xdr:rowOff>44337</xdr:rowOff>
    </xdr:from>
    <xdr:to>
      <xdr:col>14</xdr:col>
      <xdr:colOff>597807</xdr:colOff>
      <xdr:row>82</xdr:row>
      <xdr:rowOff>177833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B0DDD1EE-486F-42F2-AB41-4D5DCB070845}"/>
            </a:ext>
          </a:extLst>
        </xdr:cNvPr>
        <xdr:cNvSpPr txBox="1"/>
      </xdr:nvSpPr>
      <xdr:spPr>
        <a:xfrm>
          <a:off x="6796608" y="14141337"/>
          <a:ext cx="2381982" cy="16574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/>
            <a:t>xlpro.show_image()</a:t>
          </a:r>
        </a:p>
        <a:p>
          <a:r>
            <a:rPr lang="en-NZ" sz="1100"/>
            <a:t>The show_image()</a:t>
          </a:r>
          <a:r>
            <a:rPr lang="en-NZ" sz="1100" baseline="0"/>
            <a:t> method pushes the figure into Excel. Note the figure updates dynamically with `xdata`, `ydata`, and `seed`.</a:t>
          </a:r>
        </a:p>
        <a:p>
          <a:endParaRPr lang="en-NZ" sz="1100" baseline="0"/>
        </a:p>
        <a:p>
          <a:r>
            <a:rPr lang="en-NZ" sz="1100" baseline="0"/>
            <a:t>Figures can be designed to be even more dynamic and configurable. This is just a basic example.</a:t>
          </a:r>
        </a:p>
      </xdr:txBody>
    </xdr:sp>
    <xdr:clientData/>
  </xdr:twoCellAnchor>
  <xdr:twoCellAnchor>
    <xdr:from>
      <xdr:col>9</xdr:col>
      <xdr:colOff>191299</xdr:colOff>
      <xdr:row>25</xdr:row>
      <xdr:rowOff>53629</xdr:rowOff>
    </xdr:from>
    <xdr:to>
      <xdr:col>14</xdr:col>
      <xdr:colOff>449835</xdr:colOff>
      <xdr:row>28</xdr:row>
      <xdr:rowOff>148879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45CD8EC-0027-4B47-BCEF-F46301A9C440}"/>
            </a:ext>
          </a:extLst>
        </xdr:cNvPr>
        <xdr:cNvSpPr txBox="1"/>
      </xdr:nvSpPr>
      <xdr:spPr>
        <a:xfrm>
          <a:off x="5637358" y="4816129"/>
          <a:ext cx="3284124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/>
            <a:t>Function Helper</a:t>
          </a:r>
        </a:p>
        <a:p>
          <a:r>
            <a:rPr lang="en-NZ" sz="1100"/>
            <a:t>Use</a:t>
          </a:r>
          <a:r>
            <a:rPr lang="en-NZ" sz="1100" baseline="0"/>
            <a:t> this dropdown in the formula bar for more explicit argument handling</a:t>
          </a:r>
          <a:endParaRPr lang="en-NZ" sz="1100"/>
        </a:p>
      </xdr:txBody>
    </xdr:sp>
    <xdr:clientData/>
  </xdr:twoCellAnchor>
  <xdr:twoCellAnchor>
    <xdr:from>
      <xdr:col>9</xdr:col>
      <xdr:colOff>224118</xdr:colOff>
      <xdr:row>19</xdr:row>
      <xdr:rowOff>11205</xdr:rowOff>
    </xdr:from>
    <xdr:to>
      <xdr:col>14</xdr:col>
      <xdr:colOff>482654</xdr:colOff>
      <xdr:row>23</xdr:row>
      <xdr:rowOff>56028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ED87F9C-6B7D-423E-B3BF-4106F6351979}"/>
            </a:ext>
          </a:extLst>
        </xdr:cNvPr>
        <xdr:cNvSpPr txBox="1"/>
      </xdr:nvSpPr>
      <xdr:spPr>
        <a:xfrm>
          <a:off x="5670177" y="3630705"/>
          <a:ext cx="3284124" cy="80682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/>
            <a:t>PENDING_PRECEDENTS &amp; Explicit</a:t>
          </a:r>
          <a:r>
            <a:rPr lang="en-NZ" sz="1100" b="1" baseline="0"/>
            <a:t> Arguments</a:t>
          </a:r>
        </a:p>
        <a:p>
          <a:r>
            <a:rPr lang="en-NZ" sz="1100" b="0" baseline="0"/>
            <a:t>xlpro generally does not treat blank cells as arguments. The function will not execute until explicit arguments are given.</a:t>
          </a:r>
          <a:endParaRPr lang="en-NZ" sz="1100" b="0"/>
        </a:p>
      </xdr:txBody>
    </xdr:sp>
    <xdr:clientData/>
  </xdr:twoCellAnchor>
  <xdr:twoCellAnchor editAs="oneCell">
    <xdr:from>
      <xdr:col>4</xdr:col>
      <xdr:colOff>0</xdr:colOff>
      <xdr:row>83</xdr:row>
      <xdr:rowOff>0</xdr:rowOff>
    </xdr:from>
    <xdr:to>
      <xdr:col>14</xdr:col>
      <xdr:colOff>24000</xdr:colOff>
      <xdr:row>101</xdr:row>
      <xdr:rowOff>171000</xdr:rowOff>
    </xdr:to>
    <xdr:pic>
      <xdr:nvPicPr>
        <xdr:cNvPr id="9" name="figure1">
          <a:extLst>
            <a:ext uri="{FF2B5EF4-FFF2-40B4-BE49-F238E27FC236}">
              <a16:creationId xmlns:a16="http://schemas.microsoft.com/office/drawing/2014/main" id="{A1010D3C-5D11-8E7C-ADD8-B98DCE4C0F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5811500"/>
          <a:ext cx="6120000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C27E-70C8-4DE8-891D-91F9E3A939AB}">
  <sheetPr codeName="Sheet1"/>
  <dimension ref="A1:P111"/>
  <sheetViews>
    <sheetView tabSelected="1" zoomScale="85" zoomScaleNormal="85" workbookViewId="0">
      <selection activeCell="F12" sqref="F12"/>
    </sheetView>
  </sheetViews>
  <sheetFormatPr defaultRowHeight="15" zeroHeight="1" x14ac:dyDescent="0.25"/>
  <cols>
    <col min="7" max="7" width="9.140625" customWidth="1"/>
    <col min="17" max="16383" width="0" hidden="1" customWidth="1"/>
  </cols>
  <sheetData>
    <row r="1" spans="1:16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/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 spans="1:1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3" t="s">
        <v>22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3"/>
      <c r="B7" s="5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5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/>
      <c r="B9" s="5" t="s">
        <v>11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5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25">
      <c r="A11" s="3"/>
      <c r="B11" s="5" t="s">
        <v>13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3"/>
      <c r="B13" s="3" t="s">
        <v>25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3"/>
      <c r="B14" s="3"/>
      <c r="C14" s="7" t="s">
        <v>24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3"/>
      <c r="B15" s="3"/>
      <c r="C15" s="8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3"/>
      <c r="B17" s="1" t="s"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3"/>
    </row>
    <row r="18" spans="1:1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3"/>
      <c r="B20" s="4" t="str" cm="1">
        <f t="array" ref="B20:C20">TRANSPOSE(args_custom_adder)</f>
        <v>a</v>
      </c>
      <c r="C20" s="4" t="str">
        <v>b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3"/>
      <c r="B21" s="3"/>
      <c r="C21" s="3"/>
      <c r="D21" s="8" cm="1">
        <f t="array" ref="D21">custom_adder(1, 2)</f>
        <v>3</v>
      </c>
      <c r="E21" s="6" t="str">
        <f ca="1">_xlfn.FORMULATEXT(D21)</f>
        <v>=custom_adder(1, 2)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3"/>
      <c r="B22" s="7">
        <v>5</v>
      </c>
      <c r="C22" s="7">
        <v>12</v>
      </c>
      <c r="D22" s="8" cm="1">
        <f t="array" ref="D22">custom_adder(B22, C22)</f>
        <v>17</v>
      </c>
      <c r="E22" s="6" t="str">
        <f ca="1">_xlfn.FORMULATEXT(D22)</f>
        <v>=custom_adder(B22, C22)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3"/>
      <c r="B23" s="7"/>
      <c r="C23" s="7">
        <v>12</v>
      </c>
      <c r="D23" s="8" t="str" cm="1">
        <f t="array" ref="D23">custom_adder(B23, C23)</f>
        <v>Promise&lt;PENDING_PREDECENTS&gt;</v>
      </c>
      <c r="E23" s="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3"/>
      <c r="B25" s="1" t="s">
        <v>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"/>
    </row>
    <row r="26" spans="1:1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3"/>
      <c r="B27" s="4" t="str" cm="1">
        <f t="array" ref="B27:D27">TRANSPOSE(args_adder_or_subtractor)</f>
        <v>a</v>
      </c>
      <c r="C27" s="4" t="str">
        <v>b</v>
      </c>
      <c r="D27" s="4" t="str">
        <v>do_add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3"/>
      <c r="B28" s="7">
        <v>2</v>
      </c>
      <c r="C28" s="7">
        <v>9</v>
      </c>
      <c r="D28" s="7" t="e">
        <f>NA()</f>
        <v>#N/A</v>
      </c>
      <c r="E28" s="8" cm="1">
        <f t="array" ref="E28">adder_or_subtractor(B28, C28)</f>
        <v>11</v>
      </c>
      <c r="F28" s="6" t="str">
        <f ca="1">_xlfn.FORMULATEXT(E28)</f>
        <v>=adder_or_subtractor(B28, C28)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5">
      <c r="A29" s="3"/>
      <c r="B29" s="7">
        <v>2</v>
      </c>
      <c r="C29" s="7">
        <v>9</v>
      </c>
      <c r="D29" s="7" t="b">
        <v>1</v>
      </c>
      <c r="E29" s="8" cm="1">
        <f t="array" ref="E29">adder_or_subtractor(B29,C29,D29)</f>
        <v>11</v>
      </c>
      <c r="F29" s="6" t="str">
        <f ca="1">_xlfn.FORMULATEXT(E29)</f>
        <v>=adder_or_subtractor(B29,C29,D29)</v>
      </c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5">
      <c r="A30" s="3"/>
      <c r="B30" s="7">
        <v>2</v>
      </c>
      <c r="C30" s="7">
        <v>9</v>
      </c>
      <c r="D30" s="7" t="b">
        <v>0</v>
      </c>
      <c r="E30" s="8" cm="1">
        <f t="array" ref="E30">adder_or_subtractor(B30,C30,D30)</f>
        <v>-7</v>
      </c>
      <c r="F30" s="6" t="str">
        <f ca="1">_xlfn.FORMULATEXT(E30)</f>
        <v>=adder_or_subtractor(B30,C30,D30)</v>
      </c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5">
      <c r="A43" s="3"/>
      <c r="B43" s="1" t="s">
        <v>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3"/>
    </row>
    <row r="44" spans="1:1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5">
      <c r="A45" s="3"/>
      <c r="B45" s="4" t="s">
        <v>2</v>
      </c>
      <c r="C45" s="7">
        <v>9.4120000000000008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5">
      <c r="A47" s="3"/>
      <c r="B47" s="4" t="s">
        <v>3</v>
      </c>
      <c r="C47" s="7">
        <v>13</v>
      </c>
      <c r="D47" s="7">
        <v>13</v>
      </c>
      <c r="E47" s="7">
        <v>4</v>
      </c>
      <c r="F47" s="3"/>
      <c r="G47" s="8" t="str" cm="1">
        <f t="array" ref="G47">custom_adder_matrix(C47:E48,$C$45)</f>
        <v>PyObj&lt;Sheet1$G$47faa0e9486d6d0f4b61c5f1703b7755d5c27e4f3759a412d3f86649185c2e27dd&gt;</v>
      </c>
      <c r="I47" s="3"/>
      <c r="J47" s="3"/>
      <c r="K47" s="8" cm="1">
        <f t="array" ref="K47:M48">show(G47)</f>
        <v>22.411999999999999</v>
      </c>
      <c r="L47" s="8">
        <v>22.411999999999999</v>
      </c>
      <c r="M47" s="8">
        <v>13.412000000000001</v>
      </c>
      <c r="O47" s="3"/>
      <c r="P47" s="3"/>
    </row>
    <row r="48" spans="1:16" x14ac:dyDescent="0.25">
      <c r="A48" s="3"/>
      <c r="B48" s="3"/>
      <c r="C48" s="7">
        <v>5</v>
      </c>
      <c r="D48" s="7">
        <v>9</v>
      </c>
      <c r="E48" s="7">
        <v>7</v>
      </c>
      <c r="F48" s="3"/>
      <c r="G48" s="8" t="str" cm="1">
        <f t="array" ref="G48">pytype(G47)</f>
        <v>&lt;class 'numpy.ndarray'&gt;</v>
      </c>
      <c r="H48" s="3"/>
      <c r="I48" s="3"/>
      <c r="J48" s="3"/>
      <c r="K48" s="8">
        <v>14.412000000000001</v>
      </c>
      <c r="L48" s="8">
        <v>18.411999999999999</v>
      </c>
      <c r="M48" s="8">
        <v>16.411999999999999</v>
      </c>
      <c r="N48" s="3"/>
      <c r="O48" s="3"/>
      <c r="P48" s="3"/>
    </row>
    <row r="49" spans="1:1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5">
      <c r="A50" s="3"/>
      <c r="B50" s="4" t="s">
        <v>3</v>
      </c>
      <c r="C50" s="7">
        <v>1</v>
      </c>
      <c r="D50" s="7">
        <v>2</v>
      </c>
      <c r="E50" s="7">
        <v>3</v>
      </c>
      <c r="F50" s="3"/>
      <c r="G50" s="8" t="str" cm="1">
        <f t="array" ref="G50">custom_adder_matrix(C50:E50,$C$45)</f>
        <v>PyObj&lt;Sheet1$G$504364214464f5ddb49ac4000b151860da604fa52b132c86c14d23024ac9f19c2f&gt;</v>
      </c>
      <c r="I50" s="3"/>
      <c r="J50" s="3"/>
      <c r="K50" s="8" cm="1">
        <f t="array" ref="K50:M50">show(G50)</f>
        <v>10.412000000000001</v>
      </c>
      <c r="L50" s="8">
        <v>11.412000000000001</v>
      </c>
      <c r="M50" s="8">
        <v>12.412000000000001</v>
      </c>
      <c r="N50" s="3"/>
      <c r="O50" s="3"/>
      <c r="P50" s="3"/>
    </row>
    <row r="51" spans="1:16" x14ac:dyDescent="0.25">
      <c r="A51" s="3"/>
      <c r="B51" s="3"/>
      <c r="C51" s="3"/>
      <c r="D51" s="3"/>
      <c r="E51" s="3"/>
      <c r="F51" s="3"/>
      <c r="G51" s="8" t="str" cm="1">
        <f t="array" ref="G51">pytype(G50)</f>
        <v>&lt;class 'numpy.ndarray'&gt;</v>
      </c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5">
      <c r="A53" s="3"/>
      <c r="B53" s="4" t="s">
        <v>3</v>
      </c>
      <c r="C53" s="7">
        <v>9</v>
      </c>
      <c r="D53" s="3"/>
      <c r="E53" s="3"/>
      <c r="F53" s="3"/>
      <c r="G53" s="8" t="str" cm="1">
        <f t="array" ref="G53">custom_adder_matrix(C53:C55,$C$45)</f>
        <v>PyObj&lt;Sheet1$G$53baddc02e9fbe6043ab89a96786e8099b3e2cda55d86c89be2884891238eb5ea6&gt;</v>
      </c>
      <c r="I53" s="3"/>
      <c r="J53" s="3"/>
      <c r="K53" s="8" cm="1">
        <f t="array" ref="K53:K55">show(G53)</f>
        <v>18.411999999999999</v>
      </c>
      <c r="L53" s="3"/>
      <c r="M53" s="3"/>
      <c r="N53" s="3"/>
      <c r="O53" s="3"/>
      <c r="P53" s="3"/>
    </row>
    <row r="54" spans="1:16" x14ac:dyDescent="0.25">
      <c r="A54" s="3"/>
      <c r="B54" s="3"/>
      <c r="C54" s="7">
        <v>41</v>
      </c>
      <c r="D54" s="3"/>
      <c r="E54" s="3"/>
      <c r="F54" s="3"/>
      <c r="G54" s="8" t="str" cm="1">
        <f t="array" ref="G54">pytype(G53)</f>
        <v>&lt;class 'numpy.ndarray'&gt;</v>
      </c>
      <c r="H54" s="3"/>
      <c r="I54" s="3"/>
      <c r="J54" s="3"/>
      <c r="K54" s="8">
        <v>50.411999999999999</v>
      </c>
      <c r="L54" s="3"/>
      <c r="M54" s="3"/>
      <c r="N54" s="3"/>
      <c r="O54" s="3"/>
      <c r="P54" s="3"/>
    </row>
    <row r="55" spans="1:16" x14ac:dyDescent="0.25">
      <c r="A55" s="3"/>
      <c r="B55" s="3"/>
      <c r="C55" s="7">
        <v>13</v>
      </c>
      <c r="D55" s="3"/>
      <c r="E55" s="3"/>
      <c r="F55" s="3"/>
      <c r="G55" s="3"/>
      <c r="H55" s="3"/>
      <c r="I55" s="3"/>
      <c r="J55" s="3"/>
      <c r="K55" s="8">
        <v>22.411999999999999</v>
      </c>
      <c r="L55" s="3"/>
      <c r="M55" s="3"/>
      <c r="N55" s="3"/>
      <c r="O55" s="3"/>
      <c r="P55" s="3"/>
    </row>
    <row r="56" spans="1:1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5">
      <c r="A58" s="3"/>
      <c r="B58" s="1" t="s">
        <v>4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"/>
    </row>
    <row r="59" spans="1:1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5">
      <c r="A60" s="3"/>
      <c r="B60" s="4" t="s">
        <v>2</v>
      </c>
      <c r="C60" s="7">
        <v>13.82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5">
      <c r="A62" s="3"/>
      <c r="B62" s="4" t="s">
        <v>5</v>
      </c>
      <c r="C62" s="7">
        <v>2</v>
      </c>
      <c r="D62" s="7">
        <v>3</v>
      </c>
      <c r="E62" s="7">
        <v>4</v>
      </c>
      <c r="F62" s="3"/>
      <c r="G62" s="8" t="str" cm="1">
        <f t="array" ref="G62">custom_adder_always_vector(C62:E63,$C$60)</f>
        <v>TypeError('Provided value is not compatible with list1d or ndarray1d')</v>
      </c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5">
      <c r="A63" s="3"/>
      <c r="B63" s="3"/>
      <c r="C63" s="7">
        <v>5</v>
      </c>
      <c r="D63" s="7">
        <v>6</v>
      </c>
      <c r="E63" s="7">
        <v>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5">
      <c r="A65" s="3"/>
      <c r="B65" s="4" t="s">
        <v>5</v>
      </c>
      <c r="C65" s="7">
        <v>2</v>
      </c>
      <c r="D65" s="7">
        <v>12</v>
      </c>
      <c r="E65" s="7">
        <v>5</v>
      </c>
      <c r="F65" s="3"/>
      <c r="G65" s="8" t="str" cm="1">
        <f t="array" ref="G65">custom_adder_always_vector(C65:E65,$C$60)</f>
        <v>PyObj&lt;Sheet1$G$656def8b922c5a933d91f7394b3bf5470d2ceaf3ba4c5db3109176a67d02b1fc2b&gt;</v>
      </c>
      <c r="H65" s="3"/>
      <c r="I65" s="3"/>
      <c r="J65" s="3"/>
      <c r="K65" s="8" cm="1">
        <f t="array" ref="K65:K67">show(G65)</f>
        <v>15.82</v>
      </c>
      <c r="L65" s="3"/>
      <c r="M65" s="3"/>
      <c r="N65" s="3"/>
      <c r="O65" s="3"/>
      <c r="P65" s="3"/>
    </row>
    <row r="66" spans="1:16" x14ac:dyDescent="0.25">
      <c r="A66" s="3"/>
      <c r="B66" s="3"/>
      <c r="C66" s="3"/>
      <c r="D66" s="3"/>
      <c r="E66" s="3"/>
      <c r="F66" s="3"/>
      <c r="G66" s="8" t="str" cm="1">
        <f t="array" ref="G66">pytype(G65)</f>
        <v>&lt;class 'numpy.ndarray'&gt;</v>
      </c>
      <c r="H66" s="3"/>
      <c r="I66" s="3"/>
      <c r="J66" s="3"/>
      <c r="K66" s="8">
        <v>25.82</v>
      </c>
      <c r="L66" s="3"/>
      <c r="M66" s="3"/>
      <c r="N66" s="3"/>
      <c r="O66" s="3"/>
      <c r="P66" s="3"/>
    </row>
    <row r="67" spans="1:1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8">
        <v>18.82</v>
      </c>
      <c r="L67" s="3"/>
      <c r="M67" s="3"/>
      <c r="N67" s="3"/>
      <c r="O67" s="3"/>
      <c r="P67" s="3"/>
    </row>
    <row r="68" spans="1:1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5">
      <c r="A69" s="3"/>
      <c r="B69" s="4" t="s">
        <v>5</v>
      </c>
      <c r="C69" s="7">
        <v>10</v>
      </c>
      <c r="D69" s="3"/>
      <c r="E69" s="3"/>
      <c r="F69" s="3"/>
      <c r="G69" s="8" t="str" cm="1">
        <f t="array" ref="G69">custom_adder_always_vector(C69:C71,$C$60)</f>
        <v>PyObj&lt;Sheet1$G$69ea8a867f009faf88a01443a49f879c011ba44f96e66d6e710fc95a967ed0c34b&gt;</v>
      </c>
      <c r="H69" s="3"/>
      <c r="I69" s="3"/>
      <c r="J69" s="3"/>
      <c r="K69" s="8" cm="1">
        <f t="array" ref="K69:K71">show(G69)</f>
        <v>23.82</v>
      </c>
      <c r="L69" s="3"/>
      <c r="M69" s="3"/>
      <c r="N69" s="3"/>
      <c r="O69" s="3"/>
      <c r="P69" s="3"/>
    </row>
    <row r="70" spans="1:16" x14ac:dyDescent="0.25">
      <c r="A70" s="3"/>
      <c r="B70" s="3"/>
      <c r="C70" s="7">
        <v>11</v>
      </c>
      <c r="D70" s="3"/>
      <c r="E70" s="3"/>
      <c r="F70" s="3"/>
      <c r="G70" s="8" t="str" cm="1">
        <f t="array" ref="G70">pytype(G69)</f>
        <v>&lt;class 'numpy.ndarray'&gt;</v>
      </c>
      <c r="H70" s="3"/>
      <c r="I70" s="3"/>
      <c r="J70" s="3"/>
      <c r="K70" s="8">
        <v>24.82</v>
      </c>
      <c r="L70" s="3"/>
      <c r="M70" s="3"/>
      <c r="N70" s="3"/>
      <c r="O70" s="3"/>
      <c r="P70" s="3"/>
    </row>
    <row r="71" spans="1:16" x14ac:dyDescent="0.25">
      <c r="A71" s="3"/>
      <c r="B71" s="3"/>
      <c r="C71" s="7">
        <v>13</v>
      </c>
      <c r="D71" s="3"/>
      <c r="E71" s="3"/>
      <c r="F71" s="3"/>
      <c r="G71" s="3"/>
      <c r="H71" s="3"/>
      <c r="I71" s="3"/>
      <c r="J71" s="3"/>
      <c r="K71" s="8">
        <v>26.82</v>
      </c>
      <c r="L71" s="3"/>
      <c r="M71" s="3"/>
      <c r="N71" s="3"/>
      <c r="O71" s="3"/>
      <c r="P71" s="3"/>
    </row>
    <row r="72" spans="1:1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5">
      <c r="A73" s="3"/>
      <c r="B73" s="1" t="s">
        <v>14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1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5">
      <c r="A75" s="3"/>
      <c r="B75" s="4" t="s">
        <v>21</v>
      </c>
      <c r="C75" s="7">
        <v>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5">
      <c r="A76" s="3"/>
      <c r="B76" s="4" t="s">
        <v>26</v>
      </c>
      <c r="C76" s="7" t="str">
        <f>"x^" &amp; C75</f>
        <v>x^6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5">
      <c r="A78" s="3"/>
      <c r="B78" s="4" t="s">
        <v>15</v>
      </c>
      <c r="C78" s="4" t="s">
        <v>16</v>
      </c>
      <c r="D78" s="3"/>
      <c r="E78" s="8" t="str" cm="1">
        <f t="array" ref="E78">create_matplotlib_figure(B79:B103,C79:C103, C76)</f>
        <v>PyObj&lt;Sheet1$E$78586b2a043fee676e8fdef9bb8a4957ddba29a157df2cd318f92ba92a55ecdab8&gt;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5">
      <c r="A79" s="3"/>
      <c r="B79" s="7" cm="1">
        <f t="array" ref="B79:B103">_xlfn.SEQUENCE(25)</f>
        <v>1</v>
      </c>
      <c r="C79" s="7" cm="1">
        <f t="array" ref="C79:C103">_xlfn.ANCHORARRAY(B79)^$C$75</f>
        <v>1</v>
      </c>
      <c r="D79" s="3"/>
      <c r="E79" s="8" t="str" cm="1">
        <f t="array" ref="E79">pytype(E78)</f>
        <v>&lt;class 'matplotlib.figure.Figure'&gt;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5">
      <c r="A80" s="3"/>
      <c r="B80" s="7">
        <v>2</v>
      </c>
      <c r="C80" s="7">
        <v>64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5">
      <c r="A81" s="3"/>
      <c r="B81" s="7">
        <v>3</v>
      </c>
      <c r="C81" s="7">
        <v>729</v>
      </c>
      <c r="D81" s="3"/>
      <c r="E81" s="4" t="s">
        <v>18</v>
      </c>
      <c r="F81" s="7" t="s">
        <v>17</v>
      </c>
      <c r="G81" s="6" t="s">
        <v>20</v>
      </c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5">
      <c r="A82" s="3"/>
      <c r="B82" s="7">
        <v>4</v>
      </c>
      <c r="C82" s="7">
        <v>4096</v>
      </c>
      <c r="D82" s="3"/>
      <c r="E82" s="4" t="s">
        <v>19</v>
      </c>
      <c r="F82" s="7">
        <v>3</v>
      </c>
      <c r="G82" s="6" t="s">
        <v>27</v>
      </c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5">
      <c r="A83" s="3"/>
      <c r="B83" s="7">
        <v>5</v>
      </c>
      <c r="C83" s="7">
        <v>15625</v>
      </c>
      <c r="D83" s="3"/>
      <c r="E83" s="8" t="str" cm="1">
        <f t="array" ref="E83">show_image(E78,F81, F82)</f>
        <v>PyObj&lt;Sheet1$E$83a440cdca1c7f2ac677b3e41d1f69128b6245b5d77702458e8ce07cb962ef29c5&gt;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5">
      <c r="A84" s="3"/>
      <c r="B84" s="7">
        <v>6</v>
      </c>
      <c r="C84" s="7">
        <v>46656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5">
      <c r="A85" s="3"/>
      <c r="B85" s="7">
        <v>7</v>
      </c>
      <c r="C85" s="7">
        <v>117649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5">
      <c r="A86" s="3"/>
      <c r="B86" s="7">
        <v>8</v>
      </c>
      <c r="C86" s="7">
        <v>262144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5">
      <c r="A87" s="3"/>
      <c r="B87" s="7">
        <v>9</v>
      </c>
      <c r="C87" s="7">
        <v>531441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5">
      <c r="A88" s="3"/>
      <c r="B88" s="7">
        <v>10</v>
      </c>
      <c r="C88" s="7">
        <v>1000000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5">
      <c r="A89" s="3"/>
      <c r="B89" s="7">
        <v>11</v>
      </c>
      <c r="C89" s="7">
        <v>1771561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5">
      <c r="A90" s="3"/>
      <c r="B90" s="7">
        <v>12</v>
      </c>
      <c r="C90" s="7">
        <v>2985984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5">
      <c r="A91" s="3"/>
      <c r="B91" s="7">
        <v>13</v>
      </c>
      <c r="C91" s="7">
        <v>4826809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5">
      <c r="A92" s="3"/>
      <c r="B92" s="7">
        <v>14</v>
      </c>
      <c r="C92" s="7">
        <v>7529536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5">
      <c r="A93" s="3"/>
      <c r="B93" s="7">
        <v>15</v>
      </c>
      <c r="C93" s="7">
        <v>11390625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5">
      <c r="A94" s="3"/>
      <c r="B94" s="7">
        <v>16</v>
      </c>
      <c r="C94" s="7">
        <v>16777216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5">
      <c r="A95" s="3"/>
      <c r="B95" s="7">
        <v>17</v>
      </c>
      <c r="C95" s="7">
        <v>24137569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5">
      <c r="A96" s="3"/>
      <c r="B96" s="7">
        <v>18</v>
      </c>
      <c r="C96" s="7">
        <v>34012224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5">
      <c r="A97" s="3"/>
      <c r="B97" s="7">
        <v>19</v>
      </c>
      <c r="C97" s="7">
        <v>47045881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5">
      <c r="A98" s="3"/>
      <c r="B98" s="7">
        <v>20</v>
      </c>
      <c r="C98" s="7">
        <v>64000000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5">
      <c r="A99" s="3"/>
      <c r="B99" s="7">
        <v>21</v>
      </c>
      <c r="C99" s="7">
        <v>85766121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5">
      <c r="A100" s="3"/>
      <c r="B100" s="7">
        <v>22</v>
      </c>
      <c r="C100" s="7">
        <v>113379904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5">
      <c r="A101" s="3"/>
      <c r="B101" s="7">
        <v>23</v>
      </c>
      <c r="C101" s="7">
        <v>148035889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5">
      <c r="A102" s="3"/>
      <c r="B102" s="7">
        <v>24</v>
      </c>
      <c r="C102" s="7">
        <v>191102976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5">
      <c r="A103" s="3"/>
      <c r="B103" s="7">
        <v>25</v>
      </c>
      <c r="C103" s="7">
        <v>244140625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5">
      <c r="A104" s="3" t="s">
        <v>8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5"/>
    <row r="110" spans="1:16" x14ac:dyDescent="0.25"/>
    <row r="111" spans="1:16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Evans</dc:creator>
  <cp:lastModifiedBy>Daniel Evans</cp:lastModifiedBy>
  <dcterms:created xsi:type="dcterms:W3CDTF">2025-06-30T20:33:45Z</dcterms:created>
  <dcterms:modified xsi:type="dcterms:W3CDTF">2025-07-06T01:19:00Z</dcterms:modified>
</cp:coreProperties>
</file>
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Daniel Evans\projects\xlpro\xlpro_testing\"/>
    </mc:Choice>
  </mc:AlternateContent>
  <xr:revisionPtr revIDLastSave="0" documentId="13_ncr:1_{6898862C-EF4E-4795-9D77-05CD44D0E4C4}" xr6:coauthVersionLast="47" xr6:coauthVersionMax="47" xr10:uidLastSave="{00000000-0000-0000-0000-000000000000}"/>
  <bookViews>
    <workbookView xWindow="14340" yWindow="0" windowWidth="24060" windowHeight="21000" xr2:uid="{E9C1777F-1A7B-4443-B997-40EFAAF8AEE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3" i="1" l="1"/>
  <c r="M65" i="1" a="1"/>
  <c r="M64" i="1" a="1"/>
  <c r="M54" i="1" a="1"/>
  <c r="M60" i="1" a="1"/>
  <c r="M58" i="1" a="1"/>
  <c r="N56" i="1" a="1"/>
  <c r="M56" i="1" a="1"/>
  <c r="O43" i="1" a="1"/>
  <c r="O45" i="1" a="1"/>
  <c r="O44" i="1" a="1"/>
  <c r="O42" i="1" a="1"/>
  <c r="G55" i="1" a="1"/>
  <c r="F55" i="1" a="1"/>
  <c r="F54" i="1" a="1"/>
  <c r="M15" i="1" a="1"/>
  <c r="L15" i="1" a="1"/>
  <c r="M14" i="1" a="1"/>
  <c r="L14" i="1" a="1"/>
  <c r="M13" i="1" a="1"/>
  <c r="L13" i="1" a="1"/>
  <c r="M12" i="1" a="1"/>
  <c r="L12" i="1" a="1"/>
  <c r="L9" i="1" a="1"/>
  <c r="G19" i="1" a="1"/>
  <c r="F52" i="1" a="1"/>
  <c r="G23" i="1" a="1"/>
  <c r="G25" i="1" a="1"/>
  <c r="G26" i="1" a="1"/>
  <c r="G24" i="1" a="1"/>
  <c r="G22" i="1" a="1"/>
  <c r="G21" i="1" a="1"/>
  <c r="G20" i="1" a="1"/>
  <c r="F19" i="1" a="1"/>
  <c r="G13" i="1" a="1"/>
  <c r="F18" i="1" a="1"/>
  <c r="G12" i="1" a="1"/>
  <c r="G15" i="1" a="1"/>
  <c r="G14" i="1" a="1"/>
  <c r="G10" i="1" a="1"/>
  <c r="F13" i="1" a="1"/>
  <c r="F12" i="1" a="1"/>
  <c r="F15" i="1" a="1"/>
  <c r="F14" i="1" a="1"/>
  <c r="G9" i="1" a="1"/>
  <c r="F10" i="1" a="1"/>
  <c r="F9" i="1" a="1"/>
  <c r="L42" i="1" a="1"/>
  <c r="L43" i="1" a="1"/>
  <c r="L45" i="1" a="1"/>
  <c r="L44" i="1" a="1"/>
  <c r="F42" i="1" a="1"/>
  <c r="F43" i="1" a="1"/>
  <c r="F45" i="1" a="1"/>
  <c r="F44" i="1" a="1"/>
  <c r="C7" i="1" a="1"/>
  <c r="B8" i="1" a="1"/>
  <c r="G42" i="1" a="1"/>
  <c r="G43" i="1" a="1"/>
  <c r="G45" i="1" a="1"/>
  <c r="G44" i="1" a="1"/>
  <c r="B7" i="1" a="1"/>
  <c r="M65" i="1" l="1"/>
  <c r="M64" i="1"/>
  <c r="M54" i="1"/>
  <c r="M60" i="1"/>
  <c r="M58" i="1"/>
  <c r="N56" i="1"/>
  <c r="M56" i="1"/>
  <c r="O43" i="1"/>
  <c r="O45" i="1"/>
  <c r="O44" i="1"/>
  <c r="O42" i="1"/>
  <c r="G55" i="1"/>
  <c r="F55" i="1"/>
  <c r="F54" i="1"/>
  <c r="M15" i="1"/>
  <c r="L15" i="1"/>
  <c r="M14" i="1"/>
  <c r="L14" i="1"/>
  <c r="M13" i="1"/>
  <c r="L13" i="1"/>
  <c r="M12" i="1"/>
  <c r="L12" i="1"/>
  <c r="L9" i="1"/>
  <c r="G19" i="1"/>
  <c r="F52" i="1"/>
  <c r="G23" i="1"/>
  <c r="G25" i="1"/>
  <c r="G26" i="1"/>
  <c r="G24" i="1"/>
  <c r="G22" i="1"/>
  <c r="G21" i="1"/>
  <c r="G20" i="1"/>
  <c r="F19" i="1"/>
  <c r="G13" i="1"/>
  <c r="F18" i="1"/>
  <c r="G12" i="1"/>
  <c r="G15" i="1"/>
  <c r="G14" i="1"/>
  <c r="G10" i="1"/>
  <c r="F13" i="1"/>
  <c r="F12" i="1"/>
  <c r="F15" i="1"/>
  <c r="F14" i="1"/>
  <c r="G9" i="1"/>
  <c r="F10" i="1"/>
  <c r="F9" i="1"/>
  <c r="L42" i="1"/>
  <c r="L43" i="1"/>
  <c r="L45" i="1"/>
  <c r="L44" i="1"/>
  <c r="F42" i="1"/>
  <c r="F43" i="1"/>
  <c r="F45" i="1"/>
  <c r="F44" i="1"/>
  <c r="C7" i="1"/>
  <c r="B8" i="1"/>
  <c r="G42" i="1"/>
  <c r="G43" i="1"/>
  <c r="G45" i="1"/>
  <c r="G44" i="1"/>
  <c r="B7" i="1"/>
  <c r="C8" i="1" l="1" a="1"/>
  <c r="C8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<sst xmlns="http://schemas.openxmlformats.org/spreadsheetml/2006/main" count="21" uniqueCount="21">
  <si>
    <t>xlpro-demo.xlsx</t>
  </si>
  <si>
    <t>figure1</t>
  </si>
  <si>
    <t>tag1</t>
  </si>
  <si>
    <t>tag2</t>
  </si>
  <si>
    <t>tag3</t>
  </si>
  <si>
    <t>tag4</t>
  </si>
  <si>
    <t>x</t>
  </si>
  <si>
    <t>#00ff00ff</t>
  </si>
  <si>
    <t>#ff0000ff</t>
  </si>
  <si>
    <t>Line3</t>
  </si>
  <si>
    <t>Line4</t>
  </si>
  <si>
    <t>#0000ffff</t>
  </si>
  <si>
    <t>#ff00ffff</t>
  </si>
  <si>
    <t>Dervla</t>
  </si>
  <si>
    <t>Dan</t>
  </si>
  <si>
    <t>fig</t>
  </si>
  <si>
    <t>ax</t>
  </si>
  <si>
    <t>y</t>
  </si>
  <si>
    <t>color</t>
  </si>
  <si>
    <t>figure2</t>
  </si>
  <si>
    <t>newline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</si>
</sst>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Tenorite"/>
      <family val="2"/>
      <scheme val="minor"/>
    </font>
    <font>
      <b/>
      <sz val="11"/>
      <color theme="1"/>
      <name val="Tenorite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theme="0" tint="9.9978637043366805E-2"/>
      </left>
      <right style="thin">
        <color theme="0" tint="9.9978637043366805E-2"/>
      </right>
      <top style="thin">
        <color theme="0" tint="9.9978637043366805E-2"/>
      </top>
      <bottom style="thin">
        <color theme="0" tint="9.9978637043366805E-2"/>
      </bottom>
      <diagonal/>
    </border>
  </borders>
  <cellStyleXfs count="1">
    <xf numFmtId="0" fontId="0" fillId="0" borderId="0" applyFill="0"/>
  </cellStyleXfs>
  <cellXfs count="3">
    <xf numFmtId="0" fontId="0" fillId="0" borderId="0" xfId="0"/>
    <xf numFmtId="0" fontId="0" fillId="2" borderId="1" xfId="0" applyFill="1" applyBorder="1"/>
    <xf numFmtId="0" fontId="1" fillId="2" borderId="1" xfId="0" applyFont="1" applyFill="1" applyBorder="1"/>
  </cellXfs>
  <cellStyles count="1">
    <cellStyle name="Normal" xfId="0" builtinId="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4" Type="http://schemas.openxmlformats.org/officeDocument/2006/relationships/image" Target="../media/image4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55</xdr:row>
      <xdr:rowOff>0</xdr:rowOff>
    </xdr:from>
    <xdr:to>
      <xdr:col>10</xdr:col>
      <xdr:colOff>172459</xdr:colOff>
      <xdr:row>78</xdr:row>
      <xdr:rowOff>7620</xdr:rowOff>
    </xdr:to>
    <xdr:pic>
      <xdr:nvPicPr>
        <xdr:cNvPr id="227" name="figure1">
          <a:extLst>
            <a:ext uri="{FF2B5EF4-FFF2-40B4-BE49-F238E27FC236}">
              <a16:creationId xmlns:a16="http://schemas.microsoft.com/office/drawing/2014/main" id="{B8A6392F-6237-76DC-C5C6-AA3FA391182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648075" y="8181975"/>
          <a:ext cx="5852160" cy="438912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65</xdr:row>
      <xdr:rowOff>0</xdr:rowOff>
    </xdr:from>
    <xdr:to>
      <xdr:col>20</xdr:col>
      <xdr:colOff>80011</xdr:colOff>
      <xdr:row>88</xdr:row>
      <xdr:rowOff>7620</xdr:rowOff>
    </xdr:to>
    <xdr:pic>
      <xdr:nvPicPr>
        <xdr:cNvPr id="368" name="figure2">
          <a:extLst>
            <a:ext uri="{FF2B5EF4-FFF2-40B4-BE49-F238E27FC236}">
              <a16:creationId xmlns:a16="http://schemas.microsoft.com/office/drawing/2014/main" id="{D530CD03-FFF5-0BB2-E963-A23C42D7BA5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11430000" y="10086975"/>
          <a:ext cx="5852160" cy="43891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Custom 4">
      <a:dk1>
        <a:srgbClr val="FFFFFF"/>
      </a:dk1>
      <a:lt1>
        <a:srgbClr val="1E2129"/>
      </a:lt1>
      <a:dk2>
        <a:srgbClr val="E8E8E8"/>
      </a:dk2>
      <a:lt2>
        <a:srgbClr val="000000"/>
      </a:lt2>
      <a:accent1>
        <a:srgbClr val="526CFE"/>
      </a:accent1>
      <a:accent2>
        <a:srgbClr val="264653"/>
      </a:accent2>
      <a:accent3>
        <a:srgbClr val="2A9D8F"/>
      </a:accent3>
      <a:accent4>
        <a:srgbClr val="E9C46A"/>
      </a:accent4>
      <a:accent5>
        <a:srgbClr val="F4A261"/>
      </a:accent5>
      <a:accent6>
        <a:srgbClr val="E76F51"/>
      </a:accent6>
      <a:hlink>
        <a:srgbClr val="81B7DF"/>
      </a:hlink>
      <a:folHlink>
        <a:srgbClr val="96607D"/>
      </a:folHlink>
    </a:clrScheme>
    <a:fontScheme name="Tenorite">
      <a:majorFont>
        <a:latin typeface="Tenorite"/>
        <a:ea typeface=""/>
        <a:cs typeface=""/>
      </a:majorFont>
      <a:minorFont>
        <a:latin typeface="Tenorite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72051-E96F-4480-B811-257453F084A0}">
  <sheetPr codeName="Sheet1"/>
  <dimension ref="B5:O108"/>
  <sheetViews>
    <sheetView tabSelected="1" topLeftCell="C16" zoomScale="85" zoomScaleNormal="85" workbookViewId="0">
      <selection activeCell="R25" sqref="R25"/>
    </sheetView>
  </sheetViews>
  <sheetFormatPr defaultRowHeight="15" x14ac:dyDescent="0.25"/>
  <cols>
    <col min="1" max="2" width="9" style="1"/>
    <col min="3" max="3" width="11.875" style="1" bestFit="1" customWidth="1"/>
    <col min="4" max="5" width="9" style="1"/>
    <col min="6" max="6" width="17.5" style="1" customWidth="1"/>
    <col min="7" max="7" width="30.125" style="1" customWidth="1"/>
    <col min="8" max="14" width="9" style="1"/>
    <col min="15" max="15" width="12.75" style="1" bestFit="1" customWidth="1"/>
    <col min="16" max="16384" width="9" style="1"/>
  </cols>
  <sheetData>
    <row r="5" spans="2:13" x14ac:dyDescent="0.25">
      <c r="B5" s="2" t="s">
        <v>0</v>
      </c>
    </row>
    <row r="7" spans="2:13" x14ac:dyDescent="0.25">
      <c r="B7" s="1" t="str" cm="1">
        <f t="array" ref="B7">np_create_random(101, 1)</f>
        <v>PyObj&lt;$B$7ffe5335e5fa178497f13d444fab7c2dbac810f9c10702344c61a9754daf0ad39&gt;</v>
      </c>
      <c r="C7" s="1" t="str" cm="1">
        <f t="array" ref="C7">pytype(B7)</f>
        <v>&lt;class 'numpy.ndarray'&gt;</v>
      </c>
    </row>
    <row r="8" spans="2:13" x14ac:dyDescent="0.25">
      <c r="B8" s="1" cm="1">
        <f t="array" ref="B8:B108">_xlfn._xlws.SORT(show(B7))</f>
        <v>1.9052061671325782E-2</v>
      </c>
      <c r="C8" s="1" cm="1">
        <f t="array" ref="C8:C108">_xlfn.ANCHORARRAY(B8)^2 * SIN(_xlfn.ANCHORARRAY(B8)*PI()*10)*5</f>
        <v>1.0225818221359859E-3</v>
      </c>
    </row>
    <row r="9" spans="2:13" x14ac:dyDescent="0.25">
      <c r="B9" s="1">
        <v>3.591093684960589E-2</v>
      </c>
      <c r="C9" s="1">
        <v>5.8265994543845231E-3</v>
      </c>
      <c r="E9" s="1">
        <v>2</v>
      </c>
      <c r="F9" s="1" t="str" cm="1">
        <f t="array" ref="F9">create_figure_with_seed(E9)</f>
        <v>PyObj&lt;$F$9fc7a8f6f885af565026dd836d46a60065f8939d5a55f22ccb87313aca1e0100e&gt;</v>
      </c>
      <c r="G9" s="1" t="str" cm="1">
        <f t="array" ref="G9">pytype(F9)</f>
        <v>&lt;class 'matplotlib.figure.Figure'&gt;</v>
      </c>
      <c r="L9" s="1" cm="1">
        <f t="array" ref="L9">pyhash((_xlfn.HSTACK(F9,F10,F12,F13,F14,F15,F19,F20,F21,F22,F52)))</f>
        <v>5.3736235918072586E+18</v>
      </c>
    </row>
    <row r="10" spans="2:13" x14ac:dyDescent="0.25">
      <c r="B10" s="1">
        <v>8.1183505840857317E-2</v>
      </c>
      <c r="C10" s="1">
        <v>1.8365352978407468E-2</v>
      </c>
      <c r="F10" s="1" t="str" cm="1">
        <f t="array" ref="F10">get_axes_of_figure(F9)</f>
        <v>PyObj&lt;$F$10ab23657235d6c96da0296e86fe7f5bdf060a6ed96a30289e440536ec35e01a97&gt;_0</v>
      </c>
      <c r="G10" s="1" t="str" cm="1">
        <f t="array" ref="G10">pytype(F10)</f>
        <v>&lt;class 'matplotlib.axes._axes.Axes'&gt;</v>
      </c>
    </row>
    <row r="11" spans="2:13" x14ac:dyDescent="0.25">
      <c r="B11" s="1">
        <v>9.0882171359357167E-2</v>
      </c>
      <c r="C11" s="1">
        <v>1.1668454358175921E-2</v>
      </c>
    </row>
    <row r="12" spans="2:13" x14ac:dyDescent="0.25">
      <c r="B12" s="1">
        <v>0.11505534197134337</v>
      </c>
      <c r="C12" s="1">
        <v>-3.0151510969007658E-2</v>
      </c>
      <c r="E12" s="1">
        <v>1</v>
      </c>
      <c r="F12" s="1" t="str" cm="1">
        <f t="array" ref="F12">add_line_unique($F$10,_xlfn.ANCHORARRAY( $B$8),_xlfn.ANCHORARRAY( $B$8)^E12, E12)</f>
        <v>PyObj&lt;$F$12a6669c42ecbc455ab07cb54c0a3ad27e9f9fedc6a75f010b6c63ab2bc209e671&gt;</v>
      </c>
      <c r="G12" s="1" t="str" cm="1">
        <f t="array" ref="G12">pytype(F12)</f>
        <v>&lt;class 'matplotlib.lines.Line2D'&gt;</v>
      </c>
      <c r="H12" s="1" t="s">
        <v>13</v>
      </c>
      <c r="J12" s="1" t="s">
        <v>2</v>
      </c>
      <c r="K12" s="1">
        <v>0.1</v>
      </c>
      <c r="L12" s="1" t="str" cm="1">
        <f t="array" ref="L12">add_line_point_unique($F$10, F12, K12, J12)</f>
        <v>PyObj&lt;$L$12c529cfc2bc41702a623f24f562b5107ab7d81955a6e2fddc709c255226b02af4&gt;</v>
      </c>
      <c r="M12" s="1" t="str" cm="1">
        <f t="array" ref="M12">pytype(L12)</f>
        <v>&lt;class 'matplotlib.text.Annotation'&gt;</v>
      </c>
    </row>
    <row r="13" spans="2:13" x14ac:dyDescent="0.25">
      <c r="B13" s="1">
        <v>0.11578529763787526</v>
      </c>
      <c r="C13" s="1">
        <v>-3.1895578882588517E-2</v>
      </c>
      <c r="E13" s="1">
        <v>2</v>
      </c>
      <c r="F13" s="1" t="str" cm="1">
        <f t="array" ref="F13">add_line_unique($F$10,_xlfn.ANCHORARRAY( $B$8),_xlfn.ANCHORARRAY( $B$8)^E13, E13)</f>
        <v>PyObj&lt;$F$13ba77d472ff55db8df69a562acfae48e947717ac276d0d0b152359643f3742764&gt;</v>
      </c>
      <c r="G13" s="1" t="str" cm="1">
        <f t="array" ref="G13">pytype(F13)</f>
        <v>&lt;class 'matplotlib.lines.Line2D'&gt;</v>
      </c>
      <c r="H13" s="1" t="s">
        <v>14</v>
      </c>
      <c r="J13" s="1" t="s">
        <v>3</v>
      </c>
      <c r="K13" s="1">
        <v>0.5</v>
      </c>
      <c r="L13" s="1" t="str" cm="1">
        <f t="array" ref="L13">add_line_point_unique($F$10, F13, K13, J13)</f>
        <v>PyObj&lt;$L$13cc8975f276dab3aa7864d223497a128e978b16d8dc0817a49bf25f33f29a43e2&gt;</v>
      </c>
      <c r="M13" s="1" t="str" cm="1">
        <f t="array" ref="M13">pytype(L13)</f>
        <v>&lt;class 'matplotlib.text.Annotation'&gt;</v>
      </c>
    </row>
    <row r="14" spans="2:13" x14ac:dyDescent="0.25">
      <c r="B14" s="1">
        <v>0.13526936062159955</v>
      </c>
      <c r="C14" s="1">
        <v>-8.1865851876691625E-2</v>
      </c>
      <c r="E14" s="1">
        <v>3</v>
      </c>
      <c r="F14" s="1" t="str" cm="1">
        <f t="array" ref="F14">add_line_unique($F$10,_xlfn.ANCHORARRAY( $B$8),_xlfn.ANCHORARRAY( $B$8)^E14, E14)</f>
        <v>PyObj&lt;$F$14217effb1a0acad6c9a6e4e39adcc82dbff07a34a634a1ef35affa63adbfcb34c&gt;</v>
      </c>
      <c r="G14" s="1" t="str" cm="1">
        <f t="array" ref="G14">pytype(F14)</f>
        <v>&lt;class 'matplotlib.lines.Line2D'&gt;</v>
      </c>
      <c r="H14" s="1" t="s">
        <v>9</v>
      </c>
      <c r="J14" s="1" t="s">
        <v>4</v>
      </c>
      <c r="K14" s="1">
        <v>0.8</v>
      </c>
      <c r="L14" s="1" t="str" cm="1">
        <f t="array" ref="L14">add_line_point_unique($F$10, F14, K14, J14)</f>
        <v>PyObj&lt;$L$1477da4d145e9ff57e755791628f71d852fa2378ddf4a944853dcdf422f401a281&gt;</v>
      </c>
      <c r="M14" s="1" t="str" cm="1">
        <f t="array" ref="M14">pytype(L14)</f>
        <v>&lt;class 'matplotlib.text.Annotation'&gt;</v>
      </c>
    </row>
    <row r="15" spans="2:13" x14ac:dyDescent="0.25">
      <c r="B15" s="1">
        <v>0.14888111519403424</v>
      </c>
      <c r="C15" s="1">
        <v>-0.11075947102696135</v>
      </c>
      <c r="E15" s="1">
        <v>4</v>
      </c>
      <c r="F15" s="1" t="str" cm="1">
        <f t="array" ref="F15">add_line_unique($F$10,_xlfn.ANCHORARRAY( $B$8),_xlfn.ANCHORARRAY( $B$8)^E15, E15)</f>
        <v>PyObj&lt;$F$15f93bc0a44fc6f2540a4006069f2883f152ce343e070668d6e8171b88978f7fb0&gt;</v>
      </c>
      <c r="G15" s="1" t="str" cm="1">
        <f t="array" ref="G15">pytype(F15)</f>
        <v>&lt;class 'matplotlib.lines.Line2D'&gt;</v>
      </c>
      <c r="H15" s="1" t="s">
        <v>10</v>
      </c>
      <c r="J15" s="1" t="s">
        <v>5</v>
      </c>
      <c r="K15" s="1">
        <v>1</v>
      </c>
      <c r="L15" s="1" t="str" cm="1">
        <f t="array" ref="L15">add_line_point_unique($F$10, F15, K15, J15)</f>
        <v>PyObj&lt;$L$151c2c1240bb65923d0218d46670e73f907c7a891540a5fd50f1509bf90c4a50d8&gt;</v>
      </c>
      <c r="M15" s="1" t="str" cm="1">
        <f t="array" ref="M15">pytype(L15)</f>
        <v>&lt;class 'matplotlib.text.Annotation'&gt;</v>
      </c>
    </row>
    <row r="16" spans="2:13" x14ac:dyDescent="0.25">
      <c r="B16" s="1">
        <v>0.14966993303930554</v>
      </c>
      <c r="C16" s="1">
        <v>-0.1119994227188201</v>
      </c>
    </row>
    <row r="17" spans="2:7" x14ac:dyDescent="0.25">
      <c r="B17" s="1">
        <v>0.16579715509377213</v>
      </c>
      <c r="C17" s="1">
        <v>-0.12086214615146987</v>
      </c>
    </row>
    <row r="18" spans="2:7" x14ac:dyDescent="0.25">
      <c r="B18" s="1">
        <v>0.17311955602161222</v>
      </c>
      <c r="C18" s="1">
        <v>-0.11203256794155576</v>
      </c>
      <c r="F18" s="1" cm="1">
        <f t="array" ref="F18">pyhash(F12:F15)</f>
        <v>5.7765136508064604E+18</v>
      </c>
    </row>
    <row r="19" spans="2:7" x14ac:dyDescent="0.25">
      <c r="B19" s="1">
        <v>0.1806658222700499</v>
      </c>
      <c r="C19" s="1">
        <v>-9.3144406826391607E-2</v>
      </c>
      <c r="F19" s="1" t="str" cm="1">
        <f t="array" ref="F19:F26">TRANSPOSE(get_line2ds_of_axes(F10, F18))</f>
        <v>PyObj&lt;$F$192a562240087e9ab1b3553216ef15ae04431010b3a9f952b5ad98b4ce9bd9a3da&gt;_0</v>
      </c>
      <c r="G19" s="1" t="str" cm="1">
        <f t="array" ref="G19">pytype(F19)</f>
        <v>&lt;class 'matplotlib.lines.Line2D'&gt;</v>
      </c>
    </row>
    <row r="20" spans="2:7" x14ac:dyDescent="0.25">
      <c r="B20" s="1">
        <v>0.18320336210335642</v>
      </c>
      <c r="C20" s="1">
        <v>-8.4501401924098191E-2</v>
      </c>
      <c r="F20" s="1" t="str">
        <v>PyObj&lt;$F$192a562240087e9ab1b3553216ef15ae04431010b3a9f952b5ad98b4ce9bd9a3da&gt;_1</v>
      </c>
      <c r="G20" s="1" t="str" cm="1">
        <f t="array" ref="G20">pytype(F20)</f>
        <v>&lt;class 'matplotlib.lines.Line2D'&gt;</v>
      </c>
    </row>
    <row r="21" spans="2:7" x14ac:dyDescent="0.25">
      <c r="B21" s="1">
        <v>0.18691994209174423</v>
      </c>
      <c r="C21" s="1">
        <v>-6.9782897955390347E-2</v>
      </c>
      <c r="F21" s="1" t="str">
        <v>PyObj&lt;$F$192a562240087e9ab1b3553216ef15ae04431010b3a9f952b5ad98b4ce9bd9a3da&gt;_2</v>
      </c>
      <c r="G21" s="1" t="str" cm="1">
        <f t="array" ref="G21">pytype(F21)</f>
        <v>&lt;class 'matplotlib.lines.Line2D'&gt;</v>
      </c>
    </row>
    <row r="22" spans="2:7" x14ac:dyDescent="0.25">
      <c r="B22" s="1">
        <v>0.20232720987353936</v>
      </c>
      <c r="C22" s="1">
        <v>1.4951234026726525E-2</v>
      </c>
      <c r="F22" s="1" t="str">
        <v>PyObj&lt;$F$192a562240087e9ab1b3553216ef15ae04431010b3a9f952b5ad98b4ce9bd9a3da&gt;_3</v>
      </c>
      <c r="G22" s="1" t="str" cm="1">
        <f t="array" ref="G22">pytype(F22)</f>
        <v>&lt;class 'matplotlib.lines.Line2D'&gt;</v>
      </c>
    </row>
    <row r="23" spans="2:7" x14ac:dyDescent="0.25">
      <c r="B23" s="1">
        <v>0.21007638842526855</v>
      </c>
      <c r="C23" s="1">
        <v>6.8691256735645079E-2</v>
      </c>
      <c r="F23" s="1" t="str">
        <v>PyObj&lt;$F$192a562240087e9ab1b3553216ef15ae04431010b3a9f952b5ad98b4ce9bd9a3da&gt;_4</v>
      </c>
      <c r="G23" s="1" t="str" cm="1">
        <f t="array" ref="G23">pytype(F23)</f>
        <v>&lt;class 'matplotlib.lines.Line2D'&gt;</v>
      </c>
    </row>
    <row r="24" spans="2:7" x14ac:dyDescent="0.25">
      <c r="B24" s="1">
        <v>0.21469292868274858</v>
      </c>
      <c r="C24" s="1">
        <v>0.10264324542439035</v>
      </c>
      <c r="F24" s="1" t="str">
        <v>PyObj&lt;$F$192a562240087e9ab1b3553216ef15ae04431010b3a9f952b5ad98b4ce9bd9a3da&gt;_5</v>
      </c>
      <c r="G24" s="1" t="str" cm="1">
        <f t="array" ref="G24">pytype(F24)</f>
        <v>&lt;class 'matplotlib.lines.Line2D'&gt;</v>
      </c>
    </row>
    <row r="25" spans="2:7" x14ac:dyDescent="0.25">
      <c r="B25" s="1">
        <v>0.21885083643903658</v>
      </c>
      <c r="C25" s="1">
        <v>0.13367720905493474</v>
      </c>
      <c r="F25" s="1" t="str">
        <v>PyObj&lt;$F$192a562240087e9ab1b3553216ef15ae04431010b3a9f952b5ad98b4ce9bd9a3da&gt;_6</v>
      </c>
      <c r="G25" s="1" t="str" cm="1">
        <f t="array" ref="G25">pytype(F25)</f>
        <v>&lt;class 'matplotlib.lines.Line2D'&gt;</v>
      </c>
    </row>
    <row r="26" spans="2:7" x14ac:dyDescent="0.25">
      <c r="B26" s="1">
        <v>0.24102038051071084</v>
      </c>
      <c r="C26" s="1">
        <v>0.27897308330894383</v>
      </c>
      <c r="F26" s="1" t="str">
        <v>PyObj&lt;$F$192a562240087e9ab1b3553216ef15ae04431010b3a9f952b5ad98b4ce9bd9a3da&gt;_7</v>
      </c>
      <c r="G26" s="1" t="str" cm="1">
        <f t="array" ref="G26">pytype(F26)</f>
        <v>&lt;class 'matplotlib.lines.Line2D'&gt;</v>
      </c>
    </row>
    <row r="27" spans="2:7" x14ac:dyDescent="0.25">
      <c r="B27" s="1">
        <v>0.25978041353649206</v>
      </c>
      <c r="C27" s="1">
        <v>0.32162602577397287</v>
      </c>
    </row>
    <row r="28" spans="2:7" x14ac:dyDescent="0.25">
      <c r="B28" s="1">
        <v>0.26803270520781397</v>
      </c>
      <c r="C28" s="1">
        <v>0.30309113512876179</v>
      </c>
    </row>
    <row r="29" spans="2:7" hidden="1" x14ac:dyDescent="0.25">
      <c r="B29" s="1">
        <v>0.26819404083298293</v>
      </c>
      <c r="C29" s="1">
        <v>0.30247392062420364</v>
      </c>
    </row>
    <row r="30" spans="2:7" hidden="1" x14ac:dyDescent="0.25">
      <c r="B30" s="1">
        <v>0.27542906932220035</v>
      </c>
      <c r="C30" s="1">
        <v>0.2645701267031132</v>
      </c>
    </row>
    <row r="31" spans="2:7" hidden="1" x14ac:dyDescent="0.25">
      <c r="B31" s="1">
        <v>0.27615630575114414</v>
      </c>
      <c r="C31" s="1">
        <v>0.25965761992113945</v>
      </c>
    </row>
    <row r="32" spans="2:7" hidden="1" x14ac:dyDescent="0.25">
      <c r="B32" s="1">
        <v>0.29861174454151684</v>
      </c>
      <c r="C32" s="1">
        <v>1.9438616300029167E-2</v>
      </c>
    </row>
    <row r="33" spans="2:15" hidden="1" x14ac:dyDescent="0.25">
      <c r="B33" s="1">
        <v>0.31378435772780899</v>
      </c>
      <c r="C33" s="1">
        <v>-0.20658994407560127</v>
      </c>
    </row>
    <row r="34" spans="2:15" hidden="1" x14ac:dyDescent="0.25">
      <c r="B34" s="1">
        <v>0.31385626546549228</v>
      </c>
      <c r="C34" s="1">
        <v>-0.20769405089679338</v>
      </c>
    </row>
    <row r="35" spans="2:15" hidden="1" x14ac:dyDescent="0.25">
      <c r="B35" s="1">
        <v>0.32300483102004196</v>
      </c>
      <c r="C35" s="1">
        <v>-0.34503973182555497</v>
      </c>
    </row>
    <row r="36" spans="2:15" hidden="1" x14ac:dyDescent="0.25">
      <c r="B36" s="1">
        <v>0.32532269106928224</v>
      </c>
      <c r="C36" s="1">
        <v>-0.37795674907825005</v>
      </c>
    </row>
    <row r="37" spans="2:15" hidden="1" x14ac:dyDescent="0.25">
      <c r="B37" s="1">
        <v>0.33035289277949009</v>
      </c>
      <c r="C37" s="1">
        <v>-0.4449809948740347</v>
      </c>
    </row>
    <row r="38" spans="2:15" hidden="1" x14ac:dyDescent="0.25">
      <c r="B38" s="1">
        <v>0.34251570405706888</v>
      </c>
      <c r="C38" s="1">
        <v>-0.57044513511194372</v>
      </c>
    </row>
    <row r="39" spans="2:15" hidden="1" x14ac:dyDescent="0.25">
      <c r="B39" s="1">
        <v>0.35230687114204429</v>
      </c>
      <c r="C39" s="1">
        <v>-0.61897159172078364</v>
      </c>
    </row>
    <row r="40" spans="2:15" hidden="1" x14ac:dyDescent="0.25">
      <c r="B40" s="1">
        <v>0.36272625055315177</v>
      </c>
      <c r="C40" s="1">
        <v>-0.60597095126962475</v>
      </c>
    </row>
    <row r="41" spans="2:15" x14ac:dyDescent="0.25">
      <c r="B41" s="1">
        <v>0.36963429793531688</v>
      </c>
      <c r="C41" s="1">
        <v>-0.55725470570619751</v>
      </c>
    </row>
    <row r="42" spans="2:15" x14ac:dyDescent="0.25">
      <c r="B42" s="1">
        <v>0.38071159820646905</v>
      </c>
      <c r="C42" s="1">
        <v>-0.41275946834858324</v>
      </c>
      <c r="E42" s="1" t="s">
        <v>8</v>
      </c>
      <c r="F42" s="1" t="str" cm="1">
        <f t="array" ref="F42">condense(_xlfn.ANCHORARRAY(G42))</f>
        <v>PyObj&lt;$F$42847d811dedf6e75542a239ec5d99009b2c2503d4eb13b8181ed72059773e3671&gt;</v>
      </c>
      <c r="G42" s="1" cm="1">
        <f t="array" ref="G42:J42">hex_to_rgb_tuple(E42)</f>
        <v>255</v>
      </c>
      <c r="H42" s="1">
        <v>0</v>
      </c>
      <c r="I42" s="1">
        <v>0</v>
      </c>
      <c r="J42" s="1">
        <v>255</v>
      </c>
      <c r="L42" s="1" t="str" cm="1">
        <f t="array" ref="L42">pyrepr(F42)</f>
        <v>[[255.0, 0.0, 0.0, 255.0]]</v>
      </c>
      <c r="O42" s="1" t="str" cm="1">
        <f t="array" ref="O42">pytype(F42)</f>
        <v>&lt;class 'list'&gt;</v>
      </c>
    </row>
    <row r="43" spans="2:15" x14ac:dyDescent="0.25">
      <c r="B43" s="1">
        <v>0.40682886891732428</v>
      </c>
      <c r="C43" s="1">
        <v>0.17617960276342629</v>
      </c>
      <c r="E43" s="1" t="s">
        <v>7</v>
      </c>
      <c r="F43" s="1" t="str" cm="1">
        <f t="array" ref="F43">condense(_xlfn.ANCHORARRAY(G43))</f>
        <v>PyObj&lt;$F$433897b440b13c7e0d5690ff4b427ae213f31daba7bc8260b75aff4d9dfa2017af&gt;</v>
      </c>
      <c r="G43" s="1" cm="1">
        <f t="array" ref="G43:J43">hex_to_rgb_tuple(E43)</f>
        <v>0</v>
      </c>
      <c r="H43" s="1">
        <v>255</v>
      </c>
      <c r="I43" s="1">
        <v>0</v>
      </c>
      <c r="J43" s="1">
        <v>255</v>
      </c>
      <c r="L43" s="1" t="str" cm="1">
        <f t="array" ref="L43">pyrepr(F43)</f>
        <v>[[0.0, 255.0, 0.0, 255.0]]</v>
      </c>
      <c r="O43" s="1" t="str" cm="1">
        <f t="array" ref="O43">pytype(F43)</f>
        <v>&lt;class 'list'&gt;</v>
      </c>
    </row>
    <row r="44" spans="2:15" x14ac:dyDescent="0.25">
      <c r="B44" s="1">
        <v>0.41895463907466346</v>
      </c>
      <c r="C44" s="1">
        <v>0.49225788557053463</v>
      </c>
      <c r="E44" s="1" t="s">
        <v>11</v>
      </c>
      <c r="F44" s="1" t="str" cm="1">
        <f t="array" ref="F44">condense(_xlfn.ANCHORARRAY(G44))</f>
        <v>PyObj&lt;$F$4418698c6d18e8394fa882d9c9774e799ee8acc8a973d609b7d54ec6ee5f6f1863&gt;</v>
      </c>
      <c r="G44" s="1" cm="1">
        <f t="array" ref="G44:J44">hex_to_rgb_tuple(E44)</f>
        <v>0</v>
      </c>
      <c r="H44" s="1">
        <v>0</v>
      </c>
      <c r="I44" s="1">
        <v>255</v>
      </c>
      <c r="J44" s="1">
        <v>255</v>
      </c>
      <c r="L44" s="1" t="str" cm="1">
        <f t="array" ref="L44">pyrepr(F44)</f>
        <v>[[0.0, 0.0, 255.0, 255.0]]</v>
      </c>
      <c r="O44" s="1" t="str" cm="1">
        <f t="array" ref="O44">pytype(F44)</f>
        <v>&lt;class 'list'&gt;</v>
      </c>
    </row>
    <row r="45" spans="2:15" x14ac:dyDescent="0.25">
      <c r="B45" s="1">
        <v>0.42001681549753367</v>
      </c>
      <c r="C45" s="1">
        <v>0.51884501536294525</v>
      </c>
      <c r="E45" s="1" t="s">
        <v>12</v>
      </c>
      <c r="F45" s="1" t="str" cm="1">
        <f t="array" ref="F45">condense(_xlfn.ANCHORARRAY(G45))</f>
        <v>PyObj&lt;$F$45bcba1762cb21ee6204fc83e4edb21a31cd638109a0ca973e9c1e34d1c249d1b8&gt;</v>
      </c>
      <c r="G45" s="1" cm="1">
        <f t="array" ref="G45:J45">hex_to_rgb_tuple(E45)</f>
        <v>255</v>
      </c>
      <c r="H45" s="1">
        <v>0</v>
      </c>
      <c r="I45" s="1">
        <v>255</v>
      </c>
      <c r="J45" s="1">
        <v>255</v>
      </c>
      <c r="L45" s="1" t="str" cm="1">
        <f t="array" ref="L45">pyrepr(F45)</f>
        <v>[[255.0, 0.0, 255.0, 255.0]]</v>
      </c>
      <c r="O45" s="1" t="str" cm="1">
        <f t="array" ref="O45">pytype(F45)</f>
        <v>&lt;class 'list'&gt;</v>
      </c>
    </row>
    <row r="46" spans="2:15" x14ac:dyDescent="0.25">
      <c r="B46" s="1">
        <v>0.42233427243382693</v>
      </c>
      <c r="C46" s="1">
        <v>0.57565939300156954</v>
      </c>
    </row>
    <row r="47" spans="2:15" x14ac:dyDescent="0.25">
      <c r="B47" s="1">
        <v>0.42660464836326195</v>
      </c>
      <c r="C47" s="1">
        <v>0.67504270147133227</v>
      </c>
    </row>
    <row r="48" spans="2:15" x14ac:dyDescent="0.25">
      <c r="B48" s="1">
        <v>0.43124350132661482</v>
      </c>
      <c r="C48" s="1">
        <v>0.7730405133474888</v>
      </c>
    </row>
    <row r="49" spans="2:14" x14ac:dyDescent="0.25">
      <c r="B49" s="1">
        <v>0.44184591034592413</v>
      </c>
      <c r="C49" s="1">
        <v>0.94428561633272512</v>
      </c>
    </row>
    <row r="50" spans="2:14" x14ac:dyDescent="0.25">
      <c r="B50" s="1">
        <v>0.44240629253253128</v>
      </c>
      <c r="C50" s="1">
        <v>0.95090071436486678</v>
      </c>
    </row>
    <row r="51" spans="2:14" x14ac:dyDescent="0.25">
      <c r="B51" s="1">
        <v>0.46729662721286958</v>
      </c>
      <c r="C51" s="1">
        <v>0.93456455137146233</v>
      </c>
    </row>
    <row r="52" spans="2:14" ht="14.25" customHeight="1" x14ac:dyDescent="0.25">
      <c r="B52" s="1">
        <v>0.49147460453779768</v>
      </c>
      <c r="C52" s="1">
        <v>0.31961840266932723</v>
      </c>
      <c r="F52" s="1" t="str" cm="1">
        <f t="array" ref="F52">add_legend(F10,_xlfn.ANCHORARRAY( F19), H12:H15)</f>
        <v>PyObj&lt;$F$52c64f131e9d200638b9cbd292cbf850fa0e6527680d96c64fdb22e1e320c6d844&gt;</v>
      </c>
    </row>
    <row r="53" spans="2:14" x14ac:dyDescent="0.25">
      <c r="B53" s="1">
        <v>0.5157251216976021</v>
      </c>
      <c r="C53" s="1">
        <v>-0.63057855212499569</v>
      </c>
      <c r="K53" s="1" t="str">
        <f>"add_lines_unique"</f>
        <v>add_lines_unique</v>
      </c>
    </row>
    <row r="54" spans="2:14" x14ac:dyDescent="0.25">
      <c r="B54" s="1">
        <v>0.51959053344147355</v>
      </c>
      <c r="C54" s="1">
        <v>-0.77932124020785287</v>
      </c>
      <c r="F54" s="1" cm="1">
        <f t="array" ref="F54">pyhash((_xlfn.HSTACK(F9,F10,F12,F13,F14,F15,F19,F20,F21,F22,F52, L12, L13, L14, L15)))</f>
        <v>-6.1385952266182052E+18</v>
      </c>
      <c r="M54" s="1" t="e" cm="1">
        <f t="array" ref="M54">pyhash(M60,M57,M56)</f>
        <v>#VALUE!</v>
      </c>
    </row>
    <row r="55" spans="2:14" x14ac:dyDescent="0.25">
      <c r="B55" s="1">
        <v>0.52316201028614107</v>
      </c>
      <c r="C55" s="1">
        <v>-0.91021323587747549</v>
      </c>
      <c r="E55" s="1" t="s">
        <v>1</v>
      </c>
      <c r="F55" s="1" t="str" cm="1">
        <f t="array" ref="F55">show_image_with_seed(F9,E55,F54)</f>
        <v>PyObj&lt;$F$551502c2bf9e32c944112a027b431fe4d0db185c78eec380f1f99b5d46909bc551&gt;</v>
      </c>
      <c r="G55" s="1" t="str" cm="1">
        <f t="array" ref="G55">pytype(F55)</f>
        <v>&lt;class 'xlpro._types.xlproImage'&gt;</v>
      </c>
      <c r="K55" s="1" t="s">
        <v>15</v>
      </c>
    </row>
    <row r="56" spans="2:14" x14ac:dyDescent="0.25">
      <c r="B56" s="1">
        <v>0.53404640489476518</v>
      </c>
      <c r="C56" s="1">
        <v>-1.2506379063772575</v>
      </c>
      <c r="K56" s="1" t="s">
        <v>16</v>
      </c>
      <c r="L56" s="1" t="s">
        <v>19</v>
      </c>
      <c r="M56" s="1" t="str" cm="1">
        <f t="array" ref="M56">deepcpy(F9)</f>
        <v>PyObj&lt;$M$5650bb56c547c952a97b3297c657c812c2ecd85bc817ae173c848cf758e5138205&gt;</v>
      </c>
      <c r="N56" s="1" t="str" cm="1">
        <f t="array" ref="N56">pytype(M56)</f>
        <v>&lt;class 'matplotlib.figure.Figure'&gt;</v>
      </c>
    </row>
    <row r="57" spans="2:14" x14ac:dyDescent="0.25">
      <c r="B57" s="1">
        <v>0.5592109752776776</v>
      </c>
      <c r="C57" s="1">
        <v>-1.4985761343518</v>
      </c>
      <c r="K57" s="1" t="s">
        <v>6</v>
      </c>
    </row>
    <row r="58" spans="2:14" x14ac:dyDescent="0.25">
      <c r="B58" s="1">
        <v>0.57270213884722188</v>
      </c>
      <c r="C58" s="1">
        <v>-1.2402305681536006</v>
      </c>
      <c r="K58" s="1" t="s">
        <v>17</v>
      </c>
      <c r="M58" s="1" t="str" cm="1">
        <f t="array" ref="M58">get_axes_of_figure(M56)</f>
        <v>PyObj&lt;$M$58d2ea8e989f7cc08f53231ac12db969d42deca04b49631619554f60911d2880eb&gt;_0</v>
      </c>
    </row>
    <row r="59" spans="2:14" x14ac:dyDescent="0.25">
      <c r="B59" s="1">
        <v>0.59108339891417661</v>
      </c>
      <c r="C59" s="1">
        <v>-0.48297208303625827</v>
      </c>
      <c r="K59" s="1" t="s">
        <v>18</v>
      </c>
    </row>
    <row r="60" spans="2:14" x14ac:dyDescent="0.25">
      <c r="B60" s="1">
        <v>0.60314836961955154</v>
      </c>
      <c r="C60" s="1">
        <v>0.17961622297169852</v>
      </c>
      <c r="L60" s="1" t="s">
        <v>20</v>
      </c>
      <c r="M60" s="1" t="str" cm="1">
        <f t="array" ref="M60">add_line_unique(M58, B17:B49, C17:C49, L60)</f>
        <v>PyObj&lt;$M$60c35789598e107b4c78121c69fe4c29a6fc64891eff46cbde2ff91c1c8dfd9e61&gt;</v>
      </c>
    </row>
    <row r="61" spans="2:14" x14ac:dyDescent="0.25">
      <c r="B61" s="1">
        <v>0.60416705070413168</v>
      </c>
      <c r="C61" s="1">
        <v>0.23824376515800599</v>
      </c>
    </row>
    <row r="62" spans="2:14" x14ac:dyDescent="0.25">
      <c r="B62" s="1">
        <v>0.60481306086970721</v>
      </c>
      <c r="C62" s="1">
        <v>0.27550366210575261</v>
      </c>
    </row>
    <row r="63" spans="2:14" x14ac:dyDescent="0.25">
      <c r="B63" s="1">
        <v>0.62405529080771138</v>
      </c>
      <c r="C63" s="1">
        <v>1.3354308760016194</v>
      </c>
    </row>
    <row r="64" spans="2:14" x14ac:dyDescent="0.25">
      <c r="B64" s="1">
        <v>0.63275991760295291</v>
      </c>
      <c r="C64" s="1">
        <v>1.715406338116692</v>
      </c>
      <c r="M64" s="1" cm="1">
        <f t="array" ref="M64">pyhash(_xlfn.HSTACK(M60))</f>
        <v>-6.71106022706722E+18</v>
      </c>
    </row>
    <row r="65" spans="2:13" x14ac:dyDescent="0.25">
      <c r="B65" s="1">
        <v>0.63529551331048939</v>
      </c>
      <c r="C65" s="1">
        <v>1.8064807019199489</v>
      </c>
      <c r="M65" s="1" t="str" cm="1">
        <f t="array" ref="M65">show_image_with_seed(M56, L56, M64)</f>
        <v>PyObj&lt;$M$65ec804460f84c2d2fb9df9f9c9cf47b42f481cf53003354dbc067f00c7388c402&gt;</v>
      </c>
    </row>
    <row r="66" spans="2:13" x14ac:dyDescent="0.25">
      <c r="B66" s="1">
        <v>0.65248007373105099</v>
      </c>
      <c r="C66" s="1">
        <v>2.1221934458340712</v>
      </c>
    </row>
    <row r="67" spans="2:13" x14ac:dyDescent="0.25">
      <c r="B67" s="1">
        <v>0.67883210286218643</v>
      </c>
      <c r="C67" s="1">
        <v>1.4217609260742525</v>
      </c>
    </row>
    <row r="68" spans="2:13" x14ac:dyDescent="0.25">
      <c r="B68" s="1">
        <v>0.68775316128486508</v>
      </c>
      <c r="C68" s="1">
        <v>0.88764839968072884</v>
      </c>
    </row>
    <row r="69" spans="2:13" x14ac:dyDescent="0.25">
      <c r="B69" s="1">
        <v>0.69200387179729395</v>
      </c>
      <c r="C69" s="1">
        <v>0.59516774016312524</v>
      </c>
    </row>
    <row r="70" spans="2:13" x14ac:dyDescent="0.25">
      <c r="B70" s="1">
        <v>0.69508319388980333</v>
      </c>
      <c r="C70" s="1">
        <v>0.37166197781237192</v>
      </c>
    </row>
    <row r="71" spans="2:13" x14ac:dyDescent="0.25">
      <c r="B71" s="1">
        <v>0.70041909984388739</v>
      </c>
      <c r="C71" s="1">
        <v>-3.2295409006511719E-2</v>
      </c>
    </row>
    <row r="72" spans="2:13" x14ac:dyDescent="0.25">
      <c r="B72" s="1">
        <v>0.70122447913348696</v>
      </c>
      <c r="C72" s="1">
        <v>-9.4553647334542856E-2</v>
      </c>
    </row>
    <row r="73" spans="2:13" x14ac:dyDescent="0.25">
      <c r="B73" s="1">
        <v>0.71980658082155802</v>
      </c>
      <c r="C73" s="1">
        <v>-1.5099576047563108</v>
      </c>
    </row>
    <row r="74" spans="2:13" x14ac:dyDescent="0.25">
      <c r="B74" s="1">
        <v>0.74282668858182732</v>
      </c>
      <c r="C74" s="1">
        <v>-2.6891960189296045</v>
      </c>
    </row>
    <row r="75" spans="2:13" x14ac:dyDescent="0.25">
      <c r="B75" s="1">
        <v>0.74698715980761077</v>
      </c>
      <c r="C75" s="1">
        <v>-2.77746105369084</v>
      </c>
    </row>
    <row r="76" spans="2:13" x14ac:dyDescent="0.25">
      <c r="B76" s="1">
        <v>0.76189355410295756</v>
      </c>
      <c r="C76" s="1">
        <v>-2.7021494812149416</v>
      </c>
    </row>
    <row r="77" spans="2:13" x14ac:dyDescent="0.25">
      <c r="B77" s="1">
        <v>0.76539165551889043</v>
      </c>
      <c r="C77" s="1">
        <v>-2.593307534243301</v>
      </c>
    </row>
    <row r="78" spans="2:13" x14ac:dyDescent="0.25">
      <c r="B78" s="1">
        <v>0.77594646300578507</v>
      </c>
      <c r="C78" s="1">
        <v>-2.0644929088796715</v>
      </c>
    </row>
    <row r="79" spans="2:13" x14ac:dyDescent="0.25">
      <c r="B79" s="1">
        <v>0.78029045672751896</v>
      </c>
      <c r="C79" s="1">
        <v>-1.7668269224892312</v>
      </c>
    </row>
    <row r="80" spans="2:13" x14ac:dyDescent="0.25">
      <c r="B80" s="1">
        <v>0.78298047949875216</v>
      </c>
      <c r="C80" s="1">
        <v>-1.5619783922960995</v>
      </c>
    </row>
    <row r="81" spans="2:3" x14ac:dyDescent="0.25">
      <c r="B81" s="1">
        <v>0.79315909697241505</v>
      </c>
      <c r="C81" s="1">
        <v>-0.6708193614372</v>
      </c>
    </row>
    <row r="82" spans="2:3" x14ac:dyDescent="0.25">
      <c r="B82" s="1">
        <v>0.84201956772606268</v>
      </c>
      <c r="C82" s="1">
        <v>3.4341538526529329</v>
      </c>
    </row>
    <row r="83" spans="2:3" x14ac:dyDescent="0.25">
      <c r="B83" s="1">
        <v>0.84617001735152952</v>
      </c>
      <c r="C83" s="1">
        <v>3.5541348954028029</v>
      </c>
    </row>
    <row r="84" spans="2:3" x14ac:dyDescent="0.25">
      <c r="B84" s="1">
        <v>0.85965274015460491</v>
      </c>
      <c r="C84" s="1">
        <v>3.5264146320914689</v>
      </c>
    </row>
    <row r="85" spans="2:3" x14ac:dyDescent="0.25">
      <c r="B85" s="1">
        <v>0.86246143303377421</v>
      </c>
      <c r="C85" s="1">
        <v>3.4378134223702812</v>
      </c>
    </row>
    <row r="86" spans="2:3" x14ac:dyDescent="0.25">
      <c r="B86" s="1">
        <v>0.8682690306153289</v>
      </c>
      <c r="C86" s="1">
        <v>3.1654722824878743</v>
      </c>
    </row>
    <row r="87" spans="2:3" x14ac:dyDescent="0.25">
      <c r="B87" s="1">
        <v>0.86939823007745998</v>
      </c>
      <c r="C87" s="1">
        <v>3.0989377533787965</v>
      </c>
    </row>
    <row r="88" spans="2:3" x14ac:dyDescent="0.25">
      <c r="B88" s="1">
        <v>0.87578807361411448</v>
      </c>
      <c r="C88" s="1">
        <v>2.6438088903606634</v>
      </c>
    </row>
    <row r="89" spans="2:3" x14ac:dyDescent="0.25">
      <c r="B89" s="1">
        <v>0.88253149803417397</v>
      </c>
      <c r="C89" s="1">
        <v>2.031484272636134</v>
      </c>
    </row>
    <row r="90" spans="2:3" x14ac:dyDescent="0.25">
      <c r="B90" s="1">
        <v>0.8994454112488075</v>
      </c>
      <c r="C90" s="1">
        <v>7.0472322097131251E-2</v>
      </c>
    </row>
    <row r="91" spans="2:3" x14ac:dyDescent="0.25">
      <c r="B91" s="1">
        <v>0.90776774132391114</v>
      </c>
      <c r="C91" s="1">
        <v>-0.9955087614620306</v>
      </c>
    </row>
    <row r="92" spans="2:3" x14ac:dyDescent="0.25">
      <c r="B92" s="1">
        <v>0.9121097176816918</v>
      </c>
      <c r="C92" s="1">
        <v>-1.5446173929530291</v>
      </c>
    </row>
    <row r="93" spans="2:3" x14ac:dyDescent="0.25">
      <c r="B93" s="1">
        <v>0.91657036543681947</v>
      </c>
      <c r="C93" s="1">
        <v>-2.0892378858753968</v>
      </c>
    </row>
    <row r="94" spans="2:3" x14ac:dyDescent="0.25">
      <c r="B94" s="1">
        <v>0.91836856363809727</v>
      </c>
      <c r="C94" s="1">
        <v>-2.3006580009443605</v>
      </c>
    </row>
    <row r="95" spans="2:3" x14ac:dyDescent="0.25">
      <c r="B95" s="1">
        <v>0.91880748148515579</v>
      </c>
      <c r="C95" s="1">
        <v>-2.3514159631065943</v>
      </c>
    </row>
    <row r="96" spans="2:3" x14ac:dyDescent="0.25">
      <c r="B96" s="1">
        <v>0.91957134550093267</v>
      </c>
      <c r="C96" s="1">
        <v>-2.4389024015125687</v>
      </c>
    </row>
    <row r="97" spans="2:3" x14ac:dyDescent="0.25">
      <c r="B97" s="1">
        <v>0.92548143777895542</v>
      </c>
      <c r="C97" s="1">
        <v>-3.0736944473387684</v>
      </c>
    </row>
    <row r="98" spans="2:3" x14ac:dyDescent="0.25">
      <c r="B98" s="1">
        <v>0.92559584897116476</v>
      </c>
      <c r="C98" s="1">
        <v>-3.0851558665677956</v>
      </c>
    </row>
    <row r="99" spans="2:3" x14ac:dyDescent="0.25">
      <c r="B99" s="1">
        <v>0.92632378110614322</v>
      </c>
      <c r="C99" s="1">
        <v>-3.1572636652634545</v>
      </c>
    </row>
    <row r="100" spans="2:3" x14ac:dyDescent="0.25">
      <c r="B100" s="1">
        <v>0.94593005638234917</v>
      </c>
      <c r="C100" s="1">
        <v>-4.4373973428134867</v>
      </c>
    </row>
    <row r="101" spans="2:3" x14ac:dyDescent="0.25">
      <c r="B101" s="1">
        <v>0.9493518273141085</v>
      </c>
      <c r="C101" s="1">
        <v>-4.5054102155574665</v>
      </c>
    </row>
    <row r="102" spans="2:3" x14ac:dyDescent="0.25">
      <c r="B102" s="1">
        <v>0.95363027527834843</v>
      </c>
      <c r="C102" s="1">
        <v>-4.5175136696026721</v>
      </c>
    </row>
    <row r="103" spans="2:3" x14ac:dyDescent="0.25">
      <c r="B103" s="1">
        <v>0.97108227847375139</v>
      </c>
      <c r="C103" s="1">
        <v>-3.7181017073034157</v>
      </c>
    </row>
    <row r="104" spans="2:3" x14ac:dyDescent="0.25">
      <c r="B104" s="1">
        <v>0.97844801715531859</v>
      </c>
      <c r="C104" s="1">
        <v>-2.9990100260882895</v>
      </c>
    </row>
    <row r="105" spans="2:3" x14ac:dyDescent="0.25">
      <c r="B105" s="1">
        <v>0.97898596848686181</v>
      </c>
      <c r="C105" s="1">
        <v>-2.9387608960133931</v>
      </c>
    </row>
    <row r="106" spans="2:3" x14ac:dyDescent="0.25">
      <c r="B106" s="1">
        <v>0.98002605485318117</v>
      </c>
      <c r="C106" s="1">
        <v>-2.819513817371782</v>
      </c>
    </row>
    <row r="107" spans="2:3" x14ac:dyDescent="0.25">
      <c r="B107" s="1">
        <v>0.9923141705023576</v>
      </c>
      <c r="C107" s="1">
        <v>-1.1772826935068224</v>
      </c>
    </row>
    <row r="108" spans="2:3" x14ac:dyDescent="0.25">
      <c r="B108" s="1">
        <v>0.99752537508959904</v>
      </c>
      <c r="C108" s="1">
        <v>-0.38640220861493441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Evans</dc:creator>
  <cp:lastModifiedBy>Daniel Evans</cp:lastModifiedBy>
  <dcterms:created xsi:type="dcterms:W3CDTF">2025-05-12T20:18:48Z</dcterms:created>
  <dcterms:modified xsi:type="dcterms:W3CDTF">2025-05-24T19:37:50Z</dcterms:modified>
</cp:coreProperties>
</file>
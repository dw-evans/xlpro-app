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C:\Users\Daniel Evans\projects\xlpro\xlpro_examples\"/>
    </mc:Choice>
  </mc:AlternateContent>
  <xr:revisionPtr revIDLastSave="0" documentId="13_ncr:1_{02C6AB2D-345F-43A3-9E9E-1E6108E1EC0C}" xr6:coauthVersionLast="47" xr6:coauthVersionMax="47" xr10:uidLastSave="{00000000-0000-0000-0000-000000000000}"/>
  <bookViews>
    <workbookView xWindow="19200" yWindow="0" windowWidth="19200" windowHeight="21000" firstSheet="1" activeTab="1" xr2:uid="{9820760F-013A-4B91-BA7A-AE3713C2F2FE}"/>
  </bookViews>
  <sheets>
    <sheet name="index" sheetId="2" state="hidden" r:id="rId1"/>
    <sheet name="ex1" sheetId="1" r:id="rId2"/>
  </sheets>
  <definedNames>
    <definedName name="args_condense">"iterable_val"</definedName>
    <definedName name="args_cpy">"val"</definedName>
    <definedName name="args_deepcpy">"val"</definedName>
    <definedName name="args_get_stock_prices">{"ticker";"days";"interval"}</definedName>
    <definedName name="args_mpl_add_legend">{"ax";"handles";"labels";"loc";"frameon";"ncol"}</definedName>
    <definedName name="args_mpl_add_line_unique">{"ax";"x";"y";"tag";"fmt";"color";"linewidth";"markersize"}</definedName>
    <definedName name="args_mpl_create_figure_with_seed">"seed"</definedName>
    <definedName name="args_mpl_get_axes_of_fig">"fig"</definedName>
    <definedName name="args_mpl_set_ax_title">{"ax";"title"}</definedName>
    <definedName name="args_mpl_set_fig_suptitle">{"fig";"suptitle"}</definedName>
    <definedName name="args_mpl_set_xax_name">{"ax";"name"}</definedName>
    <definedName name="args_mpl_set_xlims">{"ax";"xlims";"seed"}</definedName>
    <definedName name="args_mpl_set_yax_name">{"ax";"name"}</definedName>
    <definedName name="args_mpl_set_ylims">{"ax";"ylims";"seed"}</definedName>
    <definedName name="args_np_linspace">{"start";"stop";"num";"endpoint";"retstep";"axis";"dtype";"device"}</definedName>
    <definedName name="args_pallette">""</definedName>
    <definedName name="args_pyadd">{"val";"rhs"}</definedName>
    <definedName name="args_pydiv">{"val";"rhs"}</definedName>
    <definedName name="args_pyeq">{"val";"rhs"}</definedName>
    <definedName name="args_pyge">{"val";"rhs"}</definedName>
    <definedName name="args_pygetattr">{"obj";"attrname";"default"}</definedName>
    <definedName name="args_pygetitem">{"obj";"val"}</definedName>
    <definedName name="args_pygt">{"val";"rhs"}</definedName>
    <definedName name="args_pyhash">"vals"</definedName>
    <definedName name="args_pyle">{"val";"rhs"}</definedName>
    <definedName name="args_pylen">"val"</definedName>
    <definedName name="args_pylt">{"val";"rhs"}</definedName>
    <definedName name="args_pymod">{"val";"rhs"}</definedName>
    <definedName name="args_pymul">{"val";"rhs"}</definedName>
    <definedName name="args_pyne">{"val";"rhs"}</definedName>
    <definedName name="args_pynot">"val"</definedName>
    <definedName name="args_pypow">{"val";"exp"}</definedName>
    <definedName name="args_pyrepr">"val"</definedName>
    <definedName name="args_pyshape">"val"</definedName>
    <definedName name="args_pystr">"val"</definedName>
    <definedName name="args_pysub">{"val";"rhs"}</definedName>
    <definedName name="args_pytype">"val"</definedName>
    <definedName name="args_show">"val"</definedName>
    <definedName name="args_show_image">{"val";"name";"seed"}</definedName>
    <definedName name="args_visualise_color">"rgb"</definedName>
    <definedName name="fname_condense">"condense"</definedName>
    <definedName name="fname_cpy">"cpy"</definedName>
    <definedName name="fname_deepcpy">"deepcpy"</definedName>
    <definedName name="fname_get_stock_prices">"get_stock_prices"</definedName>
    <definedName name="fname_mpl_add_legend">"mpl_add_legend"</definedName>
    <definedName name="fname_mpl_add_line_unique">"mpl_add_line_unique"</definedName>
    <definedName name="fname_mpl_create_figure_with_seed">"mpl_create_figure_with_seed"</definedName>
    <definedName name="fname_mpl_get_axes_of_fig">"mpl_get_axes_of_fig"</definedName>
    <definedName name="fname_mpl_set_ax_title">"mpl_set_ax_title"</definedName>
    <definedName name="fname_mpl_set_fig_suptitle">"mpl_set_fig_suptitle"</definedName>
    <definedName name="fname_mpl_set_xax_name">"mpl_set_xax_name"</definedName>
    <definedName name="fname_mpl_set_xlims">"mpl_set_xlims"</definedName>
    <definedName name="fname_mpl_set_yax_name">"mpl_set_yax_name"</definedName>
    <definedName name="fname_mpl_set_ylims">"mpl_set_ylims"</definedName>
    <definedName name="fname_np_linspace">"np_linspace"</definedName>
    <definedName name="fname_pallette">"pallette"</definedName>
    <definedName name="fname_pyadd">"pyadd"</definedName>
    <definedName name="fname_pydiv">"pydiv"</definedName>
    <definedName name="fname_pyeq">"pyeq"</definedName>
    <definedName name="fname_pyge">"pyge"</definedName>
    <definedName name="fname_pygetattr">"pygetattr"</definedName>
    <definedName name="fname_pygetitem">"pygetitem"</definedName>
    <definedName name="fname_pygt">"pygt"</definedName>
    <definedName name="fname_pyhash">"pyhash"</definedName>
    <definedName name="fname_pyle">"pyle"</definedName>
    <definedName name="fname_pylen">"pylen"</definedName>
    <definedName name="fname_pylt">"pylt"</definedName>
    <definedName name="fname_pymod">"pymod"</definedName>
    <definedName name="fname_pymul">"pymul"</definedName>
    <definedName name="fname_pyne">"pyne"</definedName>
    <definedName name="fname_pynot">"pynot"</definedName>
    <definedName name="fname_pypow">"pypow"</definedName>
    <definedName name="fname_pyrepr">"pyrepr"</definedName>
    <definedName name="fname_pyshape">"pyshape"</definedName>
    <definedName name="fname_pystr">"pystr"</definedName>
    <definedName name="fname_pysub">"pysub"</definedName>
    <definedName name="fname_pytype">"pytype"</definedName>
    <definedName name="fname_show">"show"</definedName>
    <definedName name="fname_show_image">"show_image"</definedName>
    <definedName name="fname_visualise_color">"visualise_color"</definedName>
    <definedName name="pyEmpty">"pyEmpty"</definedName>
    <definedName name="pyNone">"pyNone"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 l="1"/>
  <c r="Q7" i="1"/>
  <c r="Q8" i="1"/>
  <c r="Q9" i="1"/>
  <c r="Q10" i="1"/>
  <c r="Q11" i="1"/>
  <c r="Q12" i="1"/>
  <c r="Q13" i="1"/>
  <c r="Q14" i="1"/>
  <c r="Q15" i="1"/>
  <c r="Q16" i="1"/>
  <c r="Q17" i="1"/>
  <c r="Q18" i="1"/>
  <c r="Q19" i="1"/>
  <c r="Q20" i="1"/>
  <c r="Q21" i="1"/>
  <c r="Q22" i="1"/>
  <c r="Q23" i="1"/>
  <c r="Q24" i="1"/>
  <c r="Q25" i="1"/>
  <c r="Q36" i="1"/>
  <c r="Q37" i="1" s="1"/>
  <c r="R37" i="1"/>
  <c r="B65" i="1" a="1"/>
  <c r="B58" i="1" a="1"/>
  <c r="B63" i="1" a="1"/>
  <c r="B51" i="1" a="1"/>
  <c r="B62" i="1" a="1"/>
  <c r="B59" i="1" a="1"/>
  <c r="B52" i="1" a="1"/>
  <c r="B57" i="1" a="1"/>
  <c r="B56" i="1" a="1"/>
  <c r="B49" i="1" a="1"/>
  <c r="B64" i="1" a="1"/>
  <c r="B50" i="1" a="1"/>
  <c r="B55" i="1" a="1"/>
  <c r="B53" i="1" a="1"/>
  <c r="B61" i="1" a="1"/>
  <c r="B66" i="1" a="1"/>
  <c r="B60" i="1" a="1"/>
  <c r="B54" i="1" a="1"/>
  <c r="B48" i="1" a="1"/>
  <c r="Y6" i="1" a="1"/>
  <c r="Y23" i="1" a="1"/>
  <c r="Y13" i="1" a="1"/>
  <c r="Y11" i="1" a="1"/>
  <c r="Y20" i="1" a="1"/>
  <c r="Y9" i="1" a="1"/>
  <c r="Y18" i="1" a="1"/>
  <c r="Y22" i="1" a="1"/>
  <c r="Y24" i="1" a="1"/>
  <c r="Y7" i="1" a="1"/>
  <c r="Y21" i="1" a="1"/>
  <c r="Y19" i="1" a="1"/>
  <c r="Y16" i="1" a="1"/>
  <c r="Y17" i="1" a="1"/>
  <c r="Y15" i="1" a="1"/>
  <c r="Y14" i="1" a="1"/>
  <c r="Y8" i="1" a="1"/>
  <c r="Y10" i="1" a="1"/>
  <c r="Y25" i="1" a="1"/>
  <c r="Y12" i="1" a="1"/>
  <c r="R31" i="1" a="1"/>
  <c r="R32" i="1" a="1"/>
  <c r="R3" i="1" a="1"/>
  <c r="Q29" i="1" a="1"/>
  <c r="W6" i="1" a="1"/>
  <c r="AB7" i="1" a="1"/>
  <c r="W23" i="1" a="1"/>
  <c r="W13" i="1" a="1"/>
  <c r="W11" i="1" a="1"/>
  <c r="W20" i="1" a="1"/>
  <c r="W9" i="1" a="1"/>
  <c r="W18" i="1" a="1"/>
  <c r="W22" i="1" a="1"/>
  <c r="W24" i="1" a="1"/>
  <c r="W7" i="1" a="1"/>
  <c r="W21" i="1" a="1"/>
  <c r="W19" i="1" a="1"/>
  <c r="W16" i="1" a="1"/>
  <c r="W17" i="1" a="1"/>
  <c r="W15" i="1" a="1"/>
  <c r="W14" i="1" a="1"/>
  <c r="W8" i="1" a="1"/>
  <c r="W10" i="1" a="1"/>
  <c r="W25" i="1" a="1"/>
  <c r="W12" i="1" a="1"/>
  <c r="Q3" i="1" a="1"/>
  <c r="R2" i="1" a="1"/>
  <c r="AA7" i="1" a="1"/>
  <c r="B43" i="1" a="1"/>
  <c r="B36" i="1" a="1"/>
  <c r="E6" i="1" a="1"/>
  <c r="Q2" i="1" a="1"/>
  <c r="B65" i="1" l="1"/>
  <c r="B58" i="1"/>
  <c r="B63" i="1"/>
  <c r="B51" i="1"/>
  <c r="B62" i="1"/>
  <c r="B59" i="1"/>
  <c r="B52" i="1"/>
  <c r="B57" i="1"/>
  <c r="B56" i="1"/>
  <c r="B49" i="1"/>
  <c r="B64" i="1"/>
  <c r="B50" i="1"/>
  <c r="B55" i="1"/>
  <c r="B53" i="1"/>
  <c r="B61" i="1"/>
  <c r="B66" i="1"/>
  <c r="B60" i="1"/>
  <c r="B54" i="1"/>
  <c r="B48" i="1"/>
  <c r="Y6" i="1"/>
  <c r="Y23" i="1"/>
  <c r="Y13" i="1"/>
  <c r="Y11" i="1"/>
  <c r="Y20" i="1"/>
  <c r="Y9" i="1"/>
  <c r="Y18" i="1"/>
  <c r="Y22" i="1"/>
  <c r="Y24" i="1"/>
  <c r="Y7" i="1"/>
  <c r="Y21" i="1"/>
  <c r="Y19" i="1"/>
  <c r="Y16" i="1"/>
  <c r="Y17" i="1"/>
  <c r="Y15" i="1"/>
  <c r="Y14" i="1"/>
  <c r="Y8" i="1"/>
  <c r="Y10" i="1"/>
  <c r="Y25" i="1"/>
  <c r="Y12" i="1"/>
  <c r="R31" i="1"/>
  <c r="R32" i="1"/>
  <c r="R3" i="1"/>
  <c r="Q29" i="1"/>
  <c r="W6" i="1"/>
  <c r="AB7" i="1"/>
  <c r="W23" i="1"/>
  <c r="W13" i="1"/>
  <c r="W11" i="1"/>
  <c r="W20" i="1"/>
  <c r="W9" i="1"/>
  <c r="W18" i="1"/>
  <c r="W22" i="1"/>
  <c r="W24" i="1"/>
  <c r="W7" i="1"/>
  <c r="W21" i="1"/>
  <c r="W19" i="1"/>
  <c r="W16" i="1"/>
  <c r="W17" i="1"/>
  <c r="W15" i="1"/>
  <c r="W14" i="1"/>
  <c r="W8" i="1"/>
  <c r="W10" i="1"/>
  <c r="W25" i="1"/>
  <c r="W12" i="1"/>
  <c r="Q3" i="1"/>
  <c r="R2" i="1"/>
  <c r="AA7" i="1"/>
  <c r="B43" i="1"/>
  <c r="B36" i="1"/>
  <c r="E6" i="1"/>
  <c r="Q2" i="1"/>
  <c r="G22" i="1" a="1"/>
  <c r="F22" i="1" a="1"/>
  <c r="F9" i="1" a="1"/>
  <c r="G9" i="1" a="1"/>
  <c r="G14" i="1" a="1"/>
  <c r="F14" i="1" a="1"/>
  <c r="F18" i="1" a="1"/>
  <c r="G18" i="1" a="1"/>
  <c r="F24" i="1" a="1"/>
  <c r="G24" i="1" a="1"/>
  <c r="G16" i="1" a="1"/>
  <c r="F16" i="1" a="1"/>
  <c r="F17" i="1" a="1"/>
  <c r="G17" i="1" a="1"/>
  <c r="F23" i="1" a="1"/>
  <c r="G23" i="1" a="1"/>
  <c r="G15" i="1" a="1"/>
  <c r="F15" i="1" a="1"/>
  <c r="F12" i="1" a="1"/>
  <c r="G12" i="1" a="1"/>
  <c r="G25" i="1" a="1"/>
  <c r="F25" i="1" a="1"/>
  <c r="G10" i="1" a="1"/>
  <c r="F10" i="1" a="1"/>
  <c r="G6" i="1" a="1"/>
  <c r="F6" i="1" a="1"/>
  <c r="B28" i="1" a="1"/>
  <c r="G13" i="1" a="1"/>
  <c r="F13" i="1" a="1"/>
  <c r="G19" i="1" a="1"/>
  <c r="F19" i="1" a="1"/>
  <c r="G20" i="1" a="1"/>
  <c r="F20" i="1" a="1"/>
  <c r="F21" i="1" a="1"/>
  <c r="G21" i="1" a="1"/>
  <c r="G8" i="1" a="1"/>
  <c r="F8" i="1" a="1"/>
  <c r="G11" i="1" a="1"/>
  <c r="F11" i="1" a="1"/>
  <c r="F7" i="1" a="1"/>
  <c r="G7" i="1" a="1"/>
  <c r="F22" i="1" l="1"/>
  <c r="G22" i="1"/>
  <c r="G9" i="1"/>
  <c r="F9" i="1"/>
  <c r="R9" i="1" s="1"/>
  <c r="F14" i="1"/>
  <c r="R14" i="1" s="1"/>
  <c r="G14" i="1"/>
  <c r="G18" i="1"/>
  <c r="F18" i="1"/>
  <c r="R18" i="1" s="1"/>
  <c r="F10" i="1"/>
  <c r="G10" i="1"/>
  <c r="F25" i="1"/>
  <c r="R25" i="1" s="1"/>
  <c r="G25" i="1"/>
  <c r="G12" i="1"/>
  <c r="F12" i="1"/>
  <c r="R12" i="1" s="1"/>
  <c r="F15" i="1"/>
  <c r="R15" i="1" s="1"/>
  <c r="G15" i="1"/>
  <c r="G23" i="1"/>
  <c r="F23" i="1"/>
  <c r="R23" i="1" s="1"/>
  <c r="G17" i="1"/>
  <c r="F17" i="1"/>
  <c r="R17" i="1" s="1"/>
  <c r="F16" i="1"/>
  <c r="R16" i="1" s="1"/>
  <c r="G16" i="1"/>
  <c r="G24" i="1"/>
  <c r="F24" i="1"/>
  <c r="R24" i="1" s="1"/>
  <c r="B28" i="1"/>
  <c r="F6" i="1"/>
  <c r="G6" i="1"/>
  <c r="F13" i="1"/>
  <c r="G13" i="1"/>
  <c r="F11" i="1"/>
  <c r="R11" i="1" s="1"/>
  <c r="G11" i="1"/>
  <c r="F8" i="1"/>
  <c r="R8" i="1" s="1"/>
  <c r="G8" i="1"/>
  <c r="R22" i="1"/>
  <c r="G21" i="1"/>
  <c r="F21" i="1"/>
  <c r="R21" i="1" s="1"/>
  <c r="F20" i="1"/>
  <c r="R20" i="1" s="1"/>
  <c r="G20" i="1"/>
  <c r="F19" i="1"/>
  <c r="R19" i="1" s="1"/>
  <c r="G19" i="1"/>
  <c r="G7" i="1"/>
  <c r="F7" i="1"/>
  <c r="R7" i="1"/>
  <c r="R10" i="1"/>
  <c r="R13" i="1"/>
  <c r="H22" i="1" a="1"/>
  <c r="T22" i="1" a="1"/>
  <c r="H9" i="1" a="1"/>
  <c r="T9" i="1" a="1"/>
  <c r="H14" i="1" a="1"/>
  <c r="T14" i="1" a="1"/>
  <c r="H18" i="1" a="1"/>
  <c r="T18" i="1" a="1"/>
  <c r="H24" i="1" a="1"/>
  <c r="H10" i="1" a="1"/>
  <c r="H16" i="1" a="1"/>
  <c r="H15" i="1" a="1"/>
  <c r="T12" i="1" a="1"/>
  <c r="T25" i="1" a="1"/>
  <c r="T15" i="1" a="1"/>
  <c r="T23" i="1" a="1"/>
  <c r="T17" i="1" a="1"/>
  <c r="T16" i="1" a="1"/>
  <c r="T10" i="1" a="1"/>
  <c r="T24" i="1" a="1"/>
  <c r="H12" i="1" a="1"/>
  <c r="H25" i="1" a="1"/>
  <c r="H17" i="1" a="1"/>
  <c r="H23" i="1" a="1"/>
  <c r="F28" i="1" a="1"/>
  <c r="H6" i="1" a="1"/>
  <c r="H13" i="1" a="1"/>
  <c r="H11" i="1" a="1"/>
  <c r="H20" i="1" a="1"/>
  <c r="H19" i="1" a="1"/>
  <c r="H21" i="1" a="1"/>
  <c r="H8" i="1" a="1"/>
  <c r="T11" i="1" a="1"/>
  <c r="H7" i="1" a="1"/>
  <c r="T22" i="1" l="1"/>
  <c r="H22" i="1"/>
  <c r="T9" i="1"/>
  <c r="H9" i="1"/>
  <c r="T14" i="1"/>
  <c r="H14" i="1"/>
  <c r="T18" i="1"/>
  <c r="H18" i="1"/>
  <c r="H23" i="1"/>
  <c r="H17" i="1"/>
  <c r="H25" i="1"/>
  <c r="H12" i="1"/>
  <c r="T24" i="1"/>
  <c r="T10" i="1"/>
  <c r="T16" i="1"/>
  <c r="T17" i="1"/>
  <c r="T23" i="1"/>
  <c r="T15" i="1"/>
  <c r="T25" i="1"/>
  <c r="T12" i="1"/>
  <c r="H15" i="1"/>
  <c r="H16" i="1"/>
  <c r="H10" i="1"/>
  <c r="H24" i="1"/>
  <c r="H6" i="1"/>
  <c r="F28" i="1"/>
  <c r="H13" i="1"/>
  <c r="T11" i="1"/>
  <c r="H8" i="1"/>
  <c r="H21" i="1"/>
  <c r="H19" i="1"/>
  <c r="H20" i="1"/>
  <c r="H11" i="1"/>
  <c r="H7" i="1"/>
  <c r="R6" i="1"/>
  <c r="I22" i="1" a="1"/>
  <c r="J22" i="1" a="1"/>
  <c r="S22" i="1" a="1"/>
  <c r="I9" i="1" a="1"/>
  <c r="J9" i="1" a="1"/>
  <c r="S9" i="1" a="1"/>
  <c r="I14" i="1" a="1"/>
  <c r="S14" i="1" a="1"/>
  <c r="J14" i="1" a="1"/>
  <c r="I18" i="1" a="1"/>
  <c r="J18" i="1" a="1"/>
  <c r="S18" i="1" a="1"/>
  <c r="I23" i="1" a="1"/>
  <c r="S23" i="1" a="1"/>
  <c r="J23" i="1" a="1"/>
  <c r="I10" i="1" a="1"/>
  <c r="S10" i="1" a="1"/>
  <c r="J10" i="1" a="1"/>
  <c r="I24" i="1" a="1"/>
  <c r="S24" i="1" a="1"/>
  <c r="J24" i="1" a="1"/>
  <c r="I15" i="1" a="1"/>
  <c r="S15" i="1" a="1"/>
  <c r="J15" i="1" a="1"/>
  <c r="I25" i="1" a="1"/>
  <c r="S25" i="1" a="1"/>
  <c r="J25" i="1" a="1"/>
  <c r="I17" i="1" a="1"/>
  <c r="S17" i="1" a="1"/>
  <c r="J17" i="1" a="1"/>
  <c r="I12" i="1" a="1"/>
  <c r="J12" i="1" a="1"/>
  <c r="S12" i="1" a="1"/>
  <c r="I16" i="1" a="1"/>
  <c r="S16" i="1" a="1"/>
  <c r="J16" i="1" a="1"/>
  <c r="H28" i="1" a="1"/>
  <c r="I6" i="1" a="1"/>
  <c r="S6" i="1" a="1"/>
  <c r="I13" i="1" a="1"/>
  <c r="J13" i="1" a="1"/>
  <c r="S19" i="1" a="1"/>
  <c r="I19" i="1" a="1"/>
  <c r="J19" i="1" a="1"/>
  <c r="S20" i="1" a="1"/>
  <c r="I20" i="1" a="1"/>
  <c r="J20" i="1" a="1"/>
  <c r="S21" i="1" a="1"/>
  <c r="I21" i="1" a="1"/>
  <c r="J21" i="1" a="1"/>
  <c r="S11" i="1" a="1"/>
  <c r="J11" i="1" a="1"/>
  <c r="I11" i="1" a="1"/>
  <c r="S8" i="1" a="1"/>
  <c r="I8" i="1" a="1"/>
  <c r="J8" i="1" a="1"/>
  <c r="S13" i="1" a="1"/>
  <c r="S7" i="1" a="1"/>
  <c r="I7" i="1" a="1"/>
  <c r="J7" i="1" a="1"/>
  <c r="T8" i="1" a="1"/>
  <c r="T19" i="1" a="1"/>
  <c r="T21" i="1" a="1"/>
  <c r="T20" i="1" a="1"/>
  <c r="T7" i="1" a="1"/>
  <c r="S22" i="1" l="1"/>
  <c r="J22" i="1"/>
  <c r="I22" i="1"/>
  <c r="S9" i="1"/>
  <c r="J9" i="1"/>
  <c r="I9" i="1"/>
  <c r="J14" i="1"/>
  <c r="S14" i="1"/>
  <c r="I14" i="1"/>
  <c r="S18" i="1"/>
  <c r="J18" i="1"/>
  <c r="I18" i="1"/>
  <c r="J16" i="1"/>
  <c r="S16" i="1"/>
  <c r="I16" i="1"/>
  <c r="S12" i="1"/>
  <c r="J12" i="1"/>
  <c r="I12" i="1"/>
  <c r="J17" i="1"/>
  <c r="S17" i="1"/>
  <c r="I17" i="1"/>
  <c r="J25" i="1"/>
  <c r="S25" i="1"/>
  <c r="I25" i="1"/>
  <c r="J15" i="1"/>
  <c r="S15" i="1"/>
  <c r="I15" i="1"/>
  <c r="J24" i="1"/>
  <c r="S24" i="1"/>
  <c r="I24" i="1"/>
  <c r="J10" i="1"/>
  <c r="S10" i="1"/>
  <c r="I10" i="1"/>
  <c r="J23" i="1"/>
  <c r="S23" i="1"/>
  <c r="I23" i="1"/>
  <c r="S6" i="1"/>
  <c r="I6" i="1"/>
  <c r="H28" i="1"/>
  <c r="J13" i="1"/>
  <c r="I13" i="1"/>
  <c r="S13" i="1"/>
  <c r="J8" i="1"/>
  <c r="I8" i="1"/>
  <c r="S8" i="1"/>
  <c r="I11" i="1"/>
  <c r="J11" i="1"/>
  <c r="S11" i="1"/>
  <c r="J21" i="1"/>
  <c r="I21" i="1"/>
  <c r="S21" i="1"/>
  <c r="J20" i="1"/>
  <c r="I20" i="1"/>
  <c r="S20" i="1"/>
  <c r="J19" i="1"/>
  <c r="I19" i="1"/>
  <c r="S19" i="1"/>
  <c r="I7" i="1"/>
  <c r="S7" i="1"/>
  <c r="J7" i="1"/>
  <c r="T8" i="1"/>
  <c r="T19" i="1"/>
  <c r="T21" i="1"/>
  <c r="T20" i="1"/>
  <c r="T7" i="1"/>
  <c r="K22" i="1" a="1"/>
  <c r="K9" i="1" a="1"/>
  <c r="K14" i="1" a="1"/>
  <c r="K18" i="1" a="1"/>
  <c r="K16" i="1" a="1"/>
  <c r="K25" i="1" a="1"/>
  <c r="K10" i="1" a="1"/>
  <c r="K15" i="1" a="1"/>
  <c r="K12" i="1" a="1"/>
  <c r="K23" i="1" a="1"/>
  <c r="K24" i="1" a="1"/>
  <c r="K17" i="1" a="1"/>
  <c r="J6" i="1" a="1"/>
  <c r="T6" i="1" a="1"/>
  <c r="T13" i="1" a="1"/>
  <c r="K11" i="1" a="1"/>
  <c r="K19" i="1" a="1"/>
  <c r="K20" i="1" a="1"/>
  <c r="K8" i="1" a="1"/>
  <c r="K21" i="1" a="1"/>
  <c r="K7" i="1" a="1"/>
  <c r="K22" i="1" l="1"/>
  <c r="K9" i="1"/>
  <c r="K14" i="1"/>
  <c r="K18" i="1"/>
  <c r="K17" i="1"/>
  <c r="K24" i="1"/>
  <c r="K23" i="1"/>
  <c r="K12" i="1"/>
  <c r="K15" i="1"/>
  <c r="K10" i="1"/>
  <c r="K25" i="1"/>
  <c r="K16" i="1"/>
  <c r="J6" i="1"/>
  <c r="T6" i="1"/>
  <c r="T13" i="1"/>
  <c r="K21" i="1"/>
  <c r="K8" i="1"/>
  <c r="K20" i="1"/>
  <c r="K19" i="1"/>
  <c r="K11" i="1"/>
  <c r="K7" i="1"/>
  <c r="J28" i="1" a="1"/>
  <c r="K6" i="1" a="1"/>
  <c r="K13" i="1" a="1"/>
  <c r="S35" i="1" a="1"/>
  <c r="Q34" i="1" a="1"/>
  <c r="K6" i="1" l="1"/>
  <c r="J28" i="1"/>
  <c r="K13" i="1"/>
  <c r="Q34" i="1"/>
  <c r="S35" i="1"/>
  <c r="R34" i="1" a="1"/>
  <c r="S37" i="1" a="1"/>
  <c r="S38" i="1" a="1"/>
  <c r="S38" i="1" l="1"/>
  <c r="S37" i="1"/>
  <c r="R34" i="1"/>
  <c r="P41" i="1" a="1"/>
  <c r="P41" i="1" l="1"/>
  <c r="Q42" i="1" a="1"/>
  <c r="Q4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evansdw</author>
  </authors>
  <commentList>
    <comment ref="A1" authorId="0" shapeId="0" xr:uid="{09B1A1C0-F307-4B59-9350-C8E5CB401A0A}">
      <text>
        <r>
          <rPr>
            <b/>
            <sz val="9"/>
            <color indexed="81"/>
            <rFont val="Tahoma"/>
            <charset val="1"/>
          </rPr>
          <t xml:space="preserve">BEFORE YOU RUN
</t>
        </r>
        <r>
          <rPr>
            <sz val="9"/>
            <color indexed="81"/>
            <rFont val="Tahoma"/>
            <family val="2"/>
          </rPr>
          <t xml:space="preserve">Enable vba access to the vbe (file, options, trust centre, trust centre settings, macro settings, enable access to the vba project object model)
</t>
        </r>
        <r>
          <rPr>
            <b/>
            <sz val="9"/>
            <color indexed="81"/>
            <rFont val="Tahoma"/>
            <charset val="1"/>
          </rPr>
          <t xml:space="preserve">
</t>
        </r>
        <r>
          <rPr>
            <sz val="9"/>
            <color indexed="81"/>
            <rFont val="Tahoma"/>
            <family val="2"/>
          </rPr>
          <t xml:space="preserve">Open the xlpro ribbon
Configure the config.toml to point to your vscode.exe path and xlpro-cli.exe path either manually (%userprofile%/.xlpro/xlpro-cli.exe) or you should relog to force office services to update the path. (there is a button to open the config.toml)
Press Init and follow the prompts to install python 3.13 a and the requirements (hold on here, this needs some manual correction). Use the uv-download option
Press Start (wont work the first time, this will just push the update to the .vscode/launch.json file)
Edit the project in vscode (using the button, should work if you configured things properly)
ctrl+shift+p &gt; remove workspace interpereter setting
Start a new terminal in vscode (should activate the venv which is in .vscode/launch.json) (new terminal will boot into venv if the environment setting above is cleared correctly and then terminal is opened). Then install the dependency below for this example
&gt;&gt; pip install yfinance
</t>
        </r>
      </text>
    </comment>
    <comment ref="Q2" authorId="0" shapeId="0" xr:uid="{CDB4CCBB-2BF8-4535-8F5B-AF57A4C825E9}">
      <text>
        <r>
          <rPr>
            <sz val="9"/>
            <color indexed="81"/>
            <rFont val="Tahoma"/>
            <family val="2"/>
          </rPr>
          <t>Creating a matplotlib figure and then adding lines to the axes allows a plot to be built dynamically, with most of the logic contained in Excel.</t>
        </r>
      </text>
    </comment>
    <comment ref="Q3" authorId="0" shapeId="0" xr:uid="{DE3010FD-41A8-48F8-A918-54FAB53B67C2}">
      <text>
        <r>
          <rPr>
            <sz val="9"/>
            <color indexed="81"/>
            <rFont val="Tahoma"/>
            <family val="2"/>
          </rPr>
          <t>This is an iterable result which is expanded by default by xlpro. 
This returns a spill array (if more than one value is contained) and you can address the python objects individually from excel formulas.
The pallette() function is a good example of this in action</t>
        </r>
      </text>
    </comment>
    <comment ref="W6" authorId="0" shapeId="0" xr:uid="{7D33F049-A981-47E0-95D9-5E6F0A4F212F}">
      <text>
        <r>
          <rPr>
            <sz val="9"/>
            <color indexed="81"/>
            <rFont val="Tahoma"/>
            <family val="2"/>
          </rPr>
          <t xml:space="preserve">pygetitem
</t>
        </r>
      </text>
    </comment>
    <comment ref="Y6" authorId="0" shapeId="0" xr:uid="{66B4A284-45BF-4FA4-8A75-D1D722E94FD7}">
      <text>
        <r>
          <rPr>
            <sz val="9"/>
            <color indexed="81"/>
            <rFont val="Tahoma"/>
            <family val="2"/>
          </rPr>
          <t>Excel native UDFs cannot safely modify the format properties of any cell. Doing this in excel requires a subroutine!
The visualise_color() function is an example of a function which can modify the workbook and update with the calculation loop.</t>
        </r>
      </text>
    </comment>
    <comment ref="B28" authorId="0" shapeId="0" xr:uid="{5F3D1102-81F5-49AF-A399-51F8E290E853}">
      <text>
        <r>
          <rPr>
            <sz val="9"/>
            <color indexed="81"/>
            <rFont val="Tahoma"/>
            <family val="2"/>
          </rPr>
          <t>pygetattr() and show() are chained so you can inspect the column layout (in this case)</t>
        </r>
      </text>
    </comment>
    <comment ref="F28" authorId="0" shapeId="0" xr:uid="{DD3B81E8-8C2F-4282-B582-0B79158A136B}">
      <text>
        <r>
          <rPr>
            <sz val="9"/>
            <color indexed="81"/>
            <rFont val="Tahoma"/>
            <family val="2"/>
          </rPr>
          <t>show() of an iterable structure can be called to spit the array result into Excel for inspection.
The date-formatted data from the dataframe is converted to Excel's serial representation so it can be formatted with a Date format.</t>
        </r>
      </text>
    </comment>
    <comment ref="Q29" authorId="0" shapeId="0" xr:uid="{91920398-EB8C-48E1-BDD9-75C15957554E}">
      <text/>
    </comment>
    <comment ref="R37" authorId="0" shapeId="0" xr:uid="{7D4921BA-F134-4141-900B-DACDF343060C}">
      <text>
        <r>
          <rPr>
            <sz val="9"/>
            <color indexed="81"/>
            <rFont val="Tahoma"/>
            <family val="2"/>
          </rPr>
          <t>Date-formatted cells change the values which Excel provides to the python server. Formatting the values as dates in this example causes the matplotlib figure to use a date x-axis</t>
        </r>
      </text>
    </comment>
    <comment ref="P41" authorId="0" shapeId="0" xr:uid="{580F5FCB-42FE-4202-A8F7-4F09E28FE026}">
      <text>
        <r>
          <rPr>
            <sz val="9"/>
            <color indexed="81"/>
            <rFont val="Tahoma"/>
            <family val="2"/>
          </rPr>
          <t>To ensure the image reflects the latest updates to the in-memory object, a seed value which varies based on all the precedent lines, legends, titles etc will force excel to recalculate the image-generating cell equation.</t>
        </r>
      </text>
    </comment>
    <comment ref="Q42" authorId="0" shapeId="0" xr:uid="{13E7AC64-973B-47BC-B2AC-F4F8B5A601F8}">
      <text>
        <r>
          <rPr>
            <sz val="9"/>
            <color indexed="81"/>
            <rFont val="Tahoma"/>
            <family val="2"/>
          </rPr>
          <t>the show_image() function can handle matplotlib objects natively.</t>
        </r>
      </text>
    </comment>
    <comment ref="N69" authorId="0" shapeId="0" xr:uid="{6ACA1BE7-4658-410B-A4CB-9A199F0F24DF}">
      <text>
        <r>
          <rPr>
            <sz val="9"/>
            <color indexed="81"/>
            <rFont val="Tahoma"/>
            <family val="2"/>
          </rPr>
          <t>For performance and dynamic updating behaviour, xlpro runs as an asynchronous background process. The server returns a "Promise…" initial value, and continues to calculate the requested commands in the background.
Once each calculation completes, a call is issued to Excel to bump the recalculation cycle.
This is inherently macro-like behaviour, which unfortinately has the consequence of wiping the undo stack of the Excel application (there is nothing we can do about this)
To remedy this, a custom undo/redo is provided in the xlpro ribbon tab. This tracks typing, deletion and basic copy/paste operations so mistakes aren't difficult to revert</t>
        </r>
      </text>
    </comment>
    <comment ref="N79" authorId="0" shapeId="0" xr:uid="{7DE8E384-2990-4613-8C1B-748CA299CA34}">
      <text>
        <r>
          <rPr>
            <sz val="9"/>
            <color indexed="81"/>
            <rFont val="Tahoma"/>
            <family val="2"/>
          </rPr>
          <t>xlpro relies on a results cache which is indexed by a hash of the cell address function, and function arguments.
If a function raises an exception, this exception value will remain as the lookup value for the cell formula.
The "Force Recalc Region" button will clear the cache linked to that cell and force a recalculate. This is useful in cases where external factors may cause a function to throw an error, e.g. files being open, internet access, timeouts etc.</t>
        </r>
      </text>
    </comment>
    <comment ref="N88" authorId="0" shapeId="0" xr:uid="{9F244F4F-367B-4F6D-A045-3307256FB55B}">
      <text>
        <r>
          <rPr>
            <sz val="9"/>
            <color indexed="81"/>
            <rFont val="Tahoma"/>
            <family val="2"/>
          </rPr>
          <t>To use an xlpro-enabled workbook, the user's machine will be configured by the xlpro desktop application to replicate the same environment of the author.
The Init button will open a shell window where the user can select a python version to reuse or install from scratch (using uv). 
The requirements of the author's environment are then used to install the necessary requirements (e.g. pip install numpy).
This should push the reader to the same 3.XX version as the author.
The Serve button is what you use to spin up the background python server. Clicking this button will kill the existing instance and run a fresh one.
The Sync button is a soft-reset for the xlpro workspace (xlpro workspaces are tied to the workbook). I.e. this will clear the cache and more importantly will reload your python files under functions.py and subroutines.py.
Clearing the cache will reset all the python calculations, so they will be recalculated when the sheet is recalculated using F9 for example.
The Edit Config button opens the config.toml file for some light configurations for the xlpro desktop app
The Edit button will open up VSCode to the xlpro workspace code folder, where you can start adding functions in the functions.py file for example.
xlpro integrates with VSCode in two interesting ways
  1. The debug configuration in launch.json is updated dynamically, just add breakpoints and press run (on the debug configuration, not the file) and watch excel enter the breakpoints.
  2. The VSCode workspace is configured to use the same interpreter that the xlpro server is running on. Use the pallette menu (Ctrl+Shift+P) to "Clear Workspace Python Interpreter Setting". Now creating a new terminal in VSC will activate your venv if you need to pip install a new package. 
This also ensures that the VSC Python extension language server matches the xlpro venv, so your language server sees what xlpro sees. I.e. this allows intellisense and autocomplete to work.
Push Reqs will push the reqs of your environment to the server location (i.e. the folder adjacent to the workbook). Use this if you update your requirements manually.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<sst xmlns="http://schemas.openxmlformats.org/spreadsheetml/2006/main" count="71" uniqueCount="53">
  <si>
    <t>ex1</t>
  </si>
  <si>
    <t>Sheet</t>
  </si>
  <si>
    <t>Description</t>
  </si>
  <si>
    <t>Title</t>
  </si>
  <si>
    <t>y-ax Label</t>
  </si>
  <si>
    <t>x-ax Label</t>
  </si>
  <si>
    <t>Legend</t>
  </si>
  <si>
    <t>AAPL</t>
  </si>
  <si>
    <t>GOOG</t>
  </si>
  <si>
    <t>TSLA</t>
  </si>
  <si>
    <t>Time</t>
  </si>
  <si>
    <t>Price</t>
  </si>
  <si>
    <t>xlims</t>
  </si>
  <si>
    <t>ylims</t>
  </si>
  <si>
    <t>figure3</t>
  </si>
  <si>
    <t>Days</t>
  </si>
  <si>
    <t>df</t>
  </si>
  <si>
    <t>df.Date</t>
  </si>
  <si>
    <t>df.Close</t>
  </si>
  <si>
    <t>df.Close.TICKER</t>
  </si>
  <si>
    <t>Color Pallette</t>
  </si>
  <si>
    <t>MSFT</t>
  </si>
  <si>
    <t>AMZN</t>
  </si>
  <si>
    <t>NVDA</t>
  </si>
  <si>
    <t>META</t>
  </si>
  <si>
    <t>-</t>
  </si>
  <si>
    <t>normalised</t>
  </si>
  <si>
    <t>0th</t>
  </si>
  <si>
    <t>NFLX</t>
  </si>
  <si>
    <t>AMD</t>
  </si>
  <si>
    <t>INTC</t>
  </si>
  <si>
    <t>BABA</t>
  </si>
  <si>
    <t>CRM</t>
  </si>
  <si>
    <t>ADBE</t>
  </si>
  <si>
    <t>ORCL</t>
  </si>
  <si>
    <t>PYPL</t>
  </si>
  <si>
    <t>SHOP</t>
  </si>
  <si>
    <t>UBER</t>
  </si>
  <si>
    <t>LYFT</t>
  </si>
  <si>
    <t>DIS</t>
  </si>
  <si>
    <t>NKE</t>
  </si>
  <si>
    <t>--</t>
  </si>
  <si>
    <t>Ticker</t>
  </si>
  <si>
    <t>Label</t>
  </si>
  <si>
    <t>x</t>
  </si>
  <si>
    <t>y(normalised)</t>
  </si>
  <si>
    <t>Stock price analysis using Matplotlib</t>
  </si>
  <si>
    <t>fetch yfinance data for this period</t>
  </si>
  <si>
    <t>Plot days</t>
  </si>
  <si>
    <t>General Notes</t>
  </si>
  <si>
    <t>Force Recalculation</t>
  </si>
  <si>
    <t>Getting Started</t>
  </si>
  <si>
    <t>="Relative ticker prices between " &amp; TEXT(Q37, "yyyy-mm-dd") &amp;" - " &amp; TEXT(R37, "yyyy-mm-dd")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</si>
</sst>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charset val="1"/>
    </font>
  </fonts>
  <fills count="12">
    <fill>
      <patternFill patternType="none"/>
    </fill>
    <fill>
      <patternFill patternType="gray125"/>
    </fill>
    <fill>
      <patternFill patternType="solid">
        <fgColor rgb="FF9467BD"/>
        <bgColor indexed="64"/>
      </patternFill>
    </fill>
    <fill>
      <patternFill patternType="solid">
        <fgColor rgb="FF1F77B4"/>
        <bgColor indexed="64"/>
      </patternFill>
    </fill>
    <fill>
      <patternFill patternType="solid">
        <fgColor rgb="FFE377C2"/>
        <bgColor indexed="64"/>
      </patternFill>
    </fill>
    <fill>
      <patternFill patternType="solid">
        <fgColor rgb="FF8C564B"/>
        <bgColor indexed="64"/>
      </patternFill>
    </fill>
    <fill>
      <patternFill patternType="solid">
        <fgColor rgb="FFD62728"/>
        <bgColor indexed="64"/>
      </patternFill>
    </fill>
    <fill>
      <patternFill patternType="solid">
        <fgColor rgb="FF2CA02C"/>
        <bgColor indexed="64"/>
      </patternFill>
    </fill>
    <fill>
      <patternFill patternType="solid">
        <fgColor rgb="FFFF7F0E"/>
        <bgColor indexed="64"/>
      </patternFill>
    </fill>
    <fill>
      <patternFill patternType="solid">
        <fgColor rgb="FF7F7F7F"/>
        <bgColor indexed="64"/>
      </patternFill>
    </fill>
    <fill>
      <patternFill patternType="solid">
        <fgColor rgb="FF17BECF"/>
        <bgColor indexed="64"/>
      </patternFill>
    </fill>
    <fill>
      <patternFill patternType="solid">
        <fgColor rgb="FFBCBD2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0" borderId="0" xfId="0" quotePrefix="1"/>
    <xf numFmtId="14" fontId="0" fillId="0" borderId="0" xfId="0" applyNumberFormat="1"/>
    <xf numFmtId="0" fontId="0" fillId="9" borderId="0" xfId="0" applyFill="1"/>
    <xf numFmtId="0" fontId="0" fillId="10" borderId="0" xfId="0" applyFill="1"/>
    <xf numFmtId="0" fontId="0" fillId="11"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42</xdr:row>
      <xdr:rowOff>0</xdr:rowOff>
    </xdr:from>
    <xdr:to>
      <xdr:col>23</xdr:col>
      <xdr:colOff>461010</xdr:colOff>
      <xdr:row>65</xdr:row>
      <xdr:rowOff>7620</xdr:rowOff>
    </xdr:to>
    <xdr:pic>
      <xdr:nvPicPr>
        <xdr:cNvPr id="13" name="figure3">
          <a:extLst>
            <a:ext uri="{FF2B5EF4-FFF2-40B4-BE49-F238E27FC236}">
              <a16:creationId xmlns:a16="http://schemas.microsoft.com/office/drawing/2014/main" id="{0F77BCB1-2FC3-11C9-BBD3-BBFFCB957A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82325" y="7981950"/>
          <a:ext cx="5852160" cy="43891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EFE4-268B-49C5-AB40-BCFF7893578D}">
  <sheetPr codeName="Sheet1"/>
  <dimension ref="B3:C5"/>
  <sheetViews>
    <sheetView workbookViewId="0">
      <selection activeCell="C11" sqref="C11"/>
    </sheetView>
  </sheetViews>
  <sheetFormatPr defaultRowHeight="15" x14ac:dyDescent="0.25"/>
  <cols>
    <col min="3" max="3" width="41.5703125" customWidth="1"/>
  </cols>
  <sheetData>
    <row r="3" spans="2:3" x14ac:dyDescent="0.25">
      <c r="B3" t="s">
        <v>1</v>
      </c>
      <c r="C3" t="s">
        <v>2</v>
      </c>
    </row>
    <row r="5" spans="2:3" x14ac:dyDescent="0.25">
      <c r="B5" t="s">
        <v>0</v>
      </c>
      <c r="C5"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8BA5-A110-4D23-B379-FA0D9F47B262}">
  <sheetPr codeName="Sheet2"/>
  <dimension ref="A1:AB1264"/>
  <sheetViews>
    <sheetView tabSelected="1" topLeftCell="A4" zoomScale="70" zoomScaleNormal="70" workbookViewId="0">
      <selection activeCell="E7" sqref="E7:E25"/>
    </sheetView>
  </sheetViews>
  <sheetFormatPr defaultRowHeight="15" x14ac:dyDescent="0.25"/>
  <cols>
    <col min="1" max="2" width="16.7109375" customWidth="1"/>
    <col min="5" max="5" width="9.140625" customWidth="1"/>
    <col min="6" max="6" width="12.42578125" bestFit="1" customWidth="1"/>
    <col min="17" max="18" width="10.5703125" bestFit="1" customWidth="1"/>
    <col min="19" max="19" width="13.5703125" bestFit="1" customWidth="1"/>
    <col min="20" max="20" width="16.85546875" customWidth="1"/>
    <col min="21" max="21" width="11" bestFit="1" customWidth="1"/>
    <col min="36" max="36" width="19.28515625" customWidth="1"/>
  </cols>
  <sheetData>
    <row r="1" spans="1:28" x14ac:dyDescent="0.25"/>
    <row r="2" spans="1:28" ht="13.5" customHeight="1" x14ac:dyDescent="0.25">
      <c r="P2">
        <v>3</v>
      </c>
      <c r="Q2" t="str" cm="1">
        <f t="array" ref="Q2">mpl_create_figure_with_seed(P2)</f>
        <v>PyObj&lt;ex1$Q$24c0e8aacb3d475b2ac450f12c115bf11a1c57b1beb6d4a0a50d94d04dc85fdc6&gt;</v>
      </c>
      <c r="R2" t="str" cm="1">
        <f t="array" ref="R2">pytype(Q2)</f>
        <v>&lt;class 'matplotlib.figure.Figure'&gt;</v>
      </c>
    </row>
    <row r="3" spans="1:28" x14ac:dyDescent="0.25">
      <c r="D3" t="s">
        <v>15</v>
      </c>
      <c r="E3">
        <v>1800</v>
      </c>
      <c r="F3" t="s">
        <v>47</v>
      </c>
      <c r="Q3" t="str" cm="1">
        <f t="array" ref="Q3">mpl_get_axes_of_fig(Q2)</f>
        <v>PyObj&lt;ex1$Q$32c2e8ea839c934030be7b58f5e4277f9472910a03434a6c6b8d9c117a8fbcbdf&gt;_0</v>
      </c>
      <c r="R3" t="str" cm="1">
        <f t="array" ref="R3">pytype(Q3)</f>
        <v>&lt;class 'matplotlib.axes._axes.Axes'&gt;</v>
      </c>
    </row>
    <row r="5" spans="1:28" x14ac:dyDescent="0.25">
      <c r="D5" t="s">
        <v>42</v>
      </c>
      <c r="E5" t="s">
        <v>16</v>
      </c>
      <c r="F5" t="s">
        <v>17</v>
      </c>
      <c r="G5" t="s">
        <v>18</v>
      </c>
      <c r="H5" t="s">
        <v>19</v>
      </c>
      <c r="I5" t="s">
        <v>27</v>
      </c>
      <c r="J5" t="s">
        <v>26</v>
      </c>
      <c r="Q5" t="s">
        <v>43</v>
      </c>
      <c r="R5" t="s">
        <v>44</v>
      </c>
      <c r="S5" t="s">
        <v>45</v>
      </c>
    </row>
    <row r="6" spans="1:28" x14ac:dyDescent="0.25">
      <c r="D6" t="s">
        <v>7</v>
      </c>
      <c r="E6" t="str" cm="1">
        <f t="array" ref="E6">get_stock_prices(D7,$E$3)</f>
        <v>OSError(22, 'Invalid argument')</v>
      </c>
      <c r="F6" t="str" cm="1">
        <f t="array" ref="F6">pygetattr(E6, "Date")</f>
        <v>Promise&lt;PENDING_PREDECENTS&gt;</v>
      </c>
      <c r="G6" t="str" cm="1">
        <f t="array" ref="G6">pygetattr(E6, "Close")</f>
        <v>Promise&lt;PENDING_PREDECENTS&gt;</v>
      </c>
      <c r="H6" t="str" cm="1">
        <f t="array" ref="H6">pygetattr(G6, D6)</f>
        <v>Promise&lt;PENDING_PREDECENTS&gt;</v>
      </c>
      <c r="I6" s="9" t="str" cm="1">
        <f t="array" ref="I6">pygetitem(H6,0)</f>
        <v>Promise&lt;PENDING_PREDECENTS&gt;</v>
      </c>
      <c r="J6" t="str" cm="1">
        <f t="array" ref="J6">pydiv(H6, I6)</f>
        <v>Promise&lt;PENDING_PREDECENTS&gt;</v>
      </c>
      <c r="K6" t="str" cm="1">
        <f t="array" ref="K6">pytype(J6)</f>
        <v>Promise&lt;PENDING_PREDECENTS&gt;</v>
      </c>
      <c r="Q6" t="str">
        <f t="shared" ref="Q6:Q25" si="0">D6</f>
        <v>AAPL</v>
      </c>
      <c r="R6" t="str">
        <f t="shared" ref="R6:R25" si="1">F6</f>
        <v>Promise&lt;PENDING_PREDECENTS&gt;</v>
      </c>
      <c r="S6" t="str" cm="1">
        <f t="array" ref="S6">pydiv(H6, pygetitem(H6,0))</f>
        <v>Promise&lt;PENDING_PREDECENTS&gt;</v>
      </c>
      <c r="T6" t="str" cm="1">
        <f t="array" ref="T6">mpl_add_line_unique($Q$3,R6,S6,Q6, U6, W6,1.2,3)</f>
        <v>Promise&lt;PENDING_PREDECENTS&gt;</v>
      </c>
      <c r="U6" s="9" t="s">
        <v>41</v>
      </c>
      <c r="W6" t="str" cm="1">
        <f t="array" ref="W6">pygetitem($AA$7, X6)</f>
        <v>PyObj&lt;ex1$W$67ee01c1fce27ae26319f696aa9518185da5d89bae52e86e5e1670f807c17ca9e&gt;_0</v>
      </c>
      <c r="X6">
        <v>1</v>
      </c>
      <c r="Y6" s="8" t="str" cm="1">
        <f t="array" ref="Y6">visualise_color(pymul(W6, 255))</f>
        <v>[255 127  14]</v>
      </c>
      <c r="AA6" s="1" t="s">
        <v>20</v>
      </c>
    </row>
    <row r="7" spans="1:28" x14ac:dyDescent="0.25">
      <c r="D7" t="s">
        <v>21</v>
      </c>
      <c r="F7" t="str" cm="1">
        <f t="array" ref="F7">pygetattr(E7, "Date")</f>
        <v>Promise&lt;PENDING_PREDECENTS&gt;</v>
      </c>
      <c r="G7" t="str" cm="1">
        <f t="array" ref="G7">pygetattr(E7, "Close")</f>
        <v>Promise&lt;PENDING_PREDECENTS&gt;</v>
      </c>
      <c r="H7" t="str" cm="1">
        <f t="array" ref="H7">pygetattr(G7, D7)</f>
        <v>Promise&lt;PENDING_PREDECENTS&gt;</v>
      </c>
      <c r="I7" s="9" t="str" cm="1">
        <f t="array" ref="I7">pygetitem(H7,0)</f>
        <v>Promise&lt;PENDING_PREDECENTS&gt;</v>
      </c>
      <c r="J7" t="str" cm="1">
        <f t="array" ref="J7">pydiv(H7, I7)</f>
        <v>Promise&lt;PENDING_PREDECENTS&gt;</v>
      </c>
      <c r="K7" t="str" cm="1">
        <f t="array" ref="K7">pytype(J7)</f>
        <v>Promise&lt;PENDING_PREDECENTS&gt;</v>
      </c>
      <c r="Q7" t="str">
        <f t="shared" si="0"/>
        <v>MSFT</v>
      </c>
      <c r="R7" t="str">
        <f t="shared" si="1"/>
        <v>Promise&lt;PENDING_PREDECENTS&gt;</v>
      </c>
      <c r="S7" t="str" cm="1">
        <f t="array" ref="S7">pydiv(H7, pygetitem(H7,0))</f>
        <v>Promise&lt;PENDING_PREDECENTS&gt;</v>
      </c>
      <c r="T7" t="str" cm="1">
        <f t="array" ref="T7">mpl_add_line_unique($Q$3,R7,S7,Q7, U7, W7,1.2)</f>
        <v>Promise&lt;PENDING_PREDECENTS&gt;</v>
      </c>
      <c r="U7" s="9" t="s">
        <v>25</v>
      </c>
      <c r="W7" t="str" cm="1">
        <f t="array" ref="W7">pygetitem($AA$7, X7)</f>
        <v>PyObj&lt;ex1$W$7a7459bde3f11791daa679ff7798482af47947036adfb3f4622d2ea58aac461bf&gt;_0</v>
      </c>
      <c r="X7">
        <v>9</v>
      </c>
      <c r="Y7" s="12" t="str" cm="1">
        <f t="array" ref="Y7">visualise_color(pymul(W7, 255))</f>
        <v>[ 23 190 207]</v>
      </c>
      <c r="AA7" t="str" cm="1">
        <f t="array" ref="AA7">condense(pallette())</f>
        <v>PyObj&lt;ex1$AA$79d4cb1dca5512f32debcbedcaf470e7c3b80796f2c1c13ee4ca5ae808f88d2bc&gt;</v>
      </c>
      <c r="AB7" t="str" cm="1">
        <f t="array" ref="AB7">pytype(AA7)</f>
        <v>&lt;class 'list'&gt;</v>
      </c>
    </row>
    <row r="8" spans="1:28" x14ac:dyDescent="0.25">
      <c r="D8" t="s">
        <v>8</v>
      </c>
      <c r="F8" t="str" cm="1">
        <f t="array" ref="F8">pygetattr(E8, "Date")</f>
        <v>Promise&lt;PENDING_PREDECENTS&gt;</v>
      </c>
      <c r="G8" t="str" cm="1">
        <f t="array" ref="G8">pygetattr(E8, "Close")</f>
        <v>Promise&lt;PENDING_PREDECENTS&gt;</v>
      </c>
      <c r="H8" t="str" cm="1">
        <f t="array" ref="H8">pygetattr(G8, D8)</f>
        <v>Promise&lt;PENDING_PREDECENTS&gt;</v>
      </c>
      <c r="I8" s="9" t="str" cm="1">
        <f t="array" ref="I8">pygetitem(H8,0)</f>
        <v>Promise&lt;PENDING_PREDECENTS&gt;</v>
      </c>
      <c r="J8" t="str" cm="1">
        <f t="array" ref="J8">pydiv(H8, I8)</f>
        <v>Promise&lt;PENDING_PREDECENTS&gt;</v>
      </c>
      <c r="K8" t="str" cm="1">
        <f t="array" ref="K8">pytype(J8)</f>
        <v>Promise&lt;PENDING_PREDECENTS&gt;</v>
      </c>
      <c r="Q8" t="str">
        <f t="shared" si="0"/>
        <v>GOOG</v>
      </c>
      <c r="R8" t="str">
        <f t="shared" si="1"/>
        <v>Promise&lt;PENDING_PREDECENTS&gt;</v>
      </c>
      <c r="S8" t="str" cm="1">
        <f t="array" ref="S8">pydiv(H8, pygetitem(H8,0))</f>
        <v>Promise&lt;PENDING_PREDECENTS&gt;</v>
      </c>
      <c r="T8" t="str" cm="1">
        <f t="array" ref="T8">mpl_add_line_unique($Q$3,R8,S8,Q8, U8, W8,1.2)</f>
        <v>Promise&lt;PENDING_PREDECENTS&gt;</v>
      </c>
      <c r="U8" s="9" t="s">
        <v>25</v>
      </c>
      <c r="W8" t="str" cm="1">
        <f t="array" ref="W8">pygetitem($AA$7, X8)</f>
        <v>PyObj&lt;ex1$W$893f41f94b2e7fefdd25d841e21442abfbc3a766cf9771abdc0ea45d6bea14cd5&gt;_0</v>
      </c>
      <c r="X8">
        <v>2</v>
      </c>
      <c r="Y8" s="7" t="str" cm="1">
        <f t="array" ref="Y8">visualise_color(pymul(W8, 255))</f>
        <v>[ 44 160  44]</v>
      </c>
    </row>
    <row r="9" spans="1:28" x14ac:dyDescent="0.25">
      <c r="D9" t="s">
        <v>22</v>
      </c>
      <c r="F9" t="str" cm="1">
        <f t="array" ref="F9">pygetattr(E9, "Date")</f>
        <v>Promise&lt;PENDING_PREDECENTS&gt;</v>
      </c>
      <c r="G9" t="str" cm="1">
        <f t="array" ref="G9">pygetattr(E9, "Close")</f>
        <v>Promise&lt;PENDING_PREDECENTS&gt;</v>
      </c>
      <c r="H9" t="str" cm="1">
        <f t="array" ref="H9">pygetattr(G9, D9)</f>
        <v>Promise&lt;PENDING_PREDECENTS&gt;</v>
      </c>
      <c r="I9" s="9" t="str" cm="1">
        <f t="array" ref="I9">pygetitem(H9,0)</f>
        <v>Promise&lt;PENDING_PREDECENTS&gt;</v>
      </c>
      <c r="J9" t="str" cm="1">
        <f t="array" ref="J9">pydiv(H9, I9)</f>
        <v>Promise&lt;PENDING_PREDECENTS&gt;</v>
      </c>
      <c r="K9" t="str" cm="1">
        <f t="array" ref="K9">pytype(J9)</f>
        <v>Promise&lt;PENDING_PREDECENTS&gt;</v>
      </c>
      <c r="Q9" t="str">
        <f t="shared" si="0"/>
        <v>AMZN</v>
      </c>
      <c r="R9" t="str">
        <f t="shared" si="1"/>
        <v>Promise&lt;PENDING_PREDECENTS&gt;</v>
      </c>
      <c r="S9" t="str" cm="1">
        <f t="array" ref="S9">pydiv(H9, pygetitem(H9,0))</f>
        <v>Promise&lt;PENDING_PREDECENTS&gt;</v>
      </c>
      <c r="T9" t="str" cm="1">
        <f t="array" ref="T9">mpl_add_line_unique($Q$3,R9,S9,Q9, U9, W9,1.2)</f>
        <v>Promise&lt;PENDING_PREDECENTS&gt;</v>
      </c>
      <c r="U9" s="9" t="s">
        <v>25</v>
      </c>
      <c r="W9" t="str" cm="1">
        <f t="array" ref="W9">pygetitem($AA$7, X9)</f>
        <v>PyObj&lt;ex1$W$9c064527bf874deee129a865854224ac78509fa15f6cfd6e2d140bae08494c354&gt;_0</v>
      </c>
      <c r="X9">
        <v>3</v>
      </c>
      <c r="Y9" s="6" t="str" cm="1">
        <f t="array" ref="Y9">visualise_color(pymul(W9, 255))</f>
        <v>[214  39  40]</v>
      </c>
    </row>
    <row r="10" spans="1:28" x14ac:dyDescent="0.25">
      <c r="D10" t="s">
        <v>23</v>
      </c>
      <c r="F10" t="str" cm="1">
        <f t="array" ref="F10">pygetattr(E10, "Date")</f>
        <v>Promise&lt;PENDING_PREDECENTS&gt;</v>
      </c>
      <c r="G10" t="str" cm="1">
        <f t="array" ref="G10">pygetattr(E10, "Close")</f>
        <v>Promise&lt;PENDING_PREDECENTS&gt;</v>
      </c>
      <c r="H10" t="str" cm="1">
        <f t="array" ref="H10">pygetattr(G10, D10)</f>
        <v>Promise&lt;PENDING_PREDECENTS&gt;</v>
      </c>
      <c r="I10" s="9" t="str" cm="1">
        <f t="array" ref="I10">pygetitem(H10,0)</f>
        <v>Promise&lt;PENDING_PREDECENTS&gt;</v>
      </c>
      <c r="J10" t="str" cm="1">
        <f t="array" ref="J10">pydiv(H10, I10)</f>
        <v>Promise&lt;PENDING_PREDECENTS&gt;</v>
      </c>
      <c r="K10" t="str" cm="1">
        <f t="array" ref="K10">pytype(J10)</f>
        <v>Promise&lt;PENDING_PREDECENTS&gt;</v>
      </c>
      <c r="Q10" t="str">
        <f t="shared" si="0"/>
        <v>NVDA</v>
      </c>
      <c r="R10" t="str">
        <f t="shared" si="1"/>
        <v>Promise&lt;PENDING_PREDECENTS&gt;</v>
      </c>
      <c r="S10" t="str" cm="1">
        <f t="array" ref="S10">pydiv(H10, pygetitem(H10,0))</f>
        <v>Promise&lt;PENDING_PREDECENTS&gt;</v>
      </c>
      <c r="T10" t="str" cm="1">
        <f t="array" ref="T10">mpl_add_line_unique($Q$3,R10,S10,Q10, U10, W10,1.2)</f>
        <v>Promise&lt;PENDING_PREDECENTS&gt;</v>
      </c>
      <c r="U10" s="9" t="s">
        <v>25</v>
      </c>
      <c r="W10" t="str" cm="1">
        <f t="array" ref="W10">pygetitem($AA$7, X10)</f>
        <v>PyObj&lt;ex1$W$101e8ec881671dfcaccfcee3ae56ecc781e62d6bec891a1daaf90650d452d5b11e&gt;_0</v>
      </c>
      <c r="X10">
        <v>4</v>
      </c>
      <c r="Y10" s="2" t="str" cm="1">
        <f t="array" ref="Y10">visualise_color(pymul(W10, 255))</f>
        <v>[148 103 189]</v>
      </c>
    </row>
    <row r="11" spans="1:28" x14ac:dyDescent="0.25">
      <c r="A11" s="9"/>
      <c r="D11" t="s">
        <v>9</v>
      </c>
      <c r="F11" t="str" cm="1">
        <f t="array" ref="F11">pygetattr(E11, "Date")</f>
        <v>Promise&lt;PENDING_PREDECENTS&gt;</v>
      </c>
      <c r="G11" t="str" cm="1">
        <f t="array" ref="G11">pygetattr(E11, "Close")</f>
        <v>Promise&lt;PENDING_PREDECENTS&gt;</v>
      </c>
      <c r="H11" t="str" cm="1">
        <f t="array" ref="H11">pygetattr(G11, D11)</f>
        <v>Promise&lt;PENDING_PREDECENTS&gt;</v>
      </c>
      <c r="I11" s="9" t="str" cm="1">
        <f t="array" ref="I11">pygetitem(H11,0)</f>
        <v>Promise&lt;PENDING_PREDECENTS&gt;</v>
      </c>
      <c r="J11" t="str" cm="1">
        <f t="array" ref="J11">pydiv(H11, I11)</f>
        <v>Promise&lt;PENDING_PREDECENTS&gt;</v>
      </c>
      <c r="K11" t="str" cm="1">
        <f t="array" ref="K11">pytype(J11)</f>
        <v>Promise&lt;PENDING_PREDECENTS&gt;</v>
      </c>
      <c r="Q11" t="str">
        <f t="shared" si="0"/>
        <v>TSLA</v>
      </c>
      <c r="R11" t="str">
        <f t="shared" si="1"/>
        <v>Promise&lt;PENDING_PREDECENTS&gt;</v>
      </c>
      <c r="S11" t="str" cm="1">
        <f t="array" ref="S11">pydiv(H11, pygetitem(H11,0))</f>
        <v>Promise&lt;PENDING_PREDECENTS&gt;</v>
      </c>
      <c r="T11" t="str" cm="1">
        <f t="array" ref="T11">mpl_add_line_unique($Q$3,R11,S11,Q11, U11, W11,1.2)</f>
        <v>Promise&lt;PENDING_PREDECENTS&gt;</v>
      </c>
      <c r="U11" s="9" t="s">
        <v>25</v>
      </c>
      <c r="W11" t="str" cm="1">
        <f t="array" ref="W11">pygetitem($AA$7, X11)</f>
        <v>PyObj&lt;ex1$W$116c8e3119fd2a31d7c663b4ff7fd8d0a672b31310649c86d59b20f9b55a467ab6&gt;_0</v>
      </c>
      <c r="X11">
        <v>5</v>
      </c>
      <c r="Y11" s="5" t="str" cm="1">
        <f t="array" ref="Y11">visualise_color(pymul(W11, 255))</f>
        <v>[140  86  75]</v>
      </c>
    </row>
    <row r="12" spans="1:28" x14ac:dyDescent="0.25">
      <c r="A12" s="9"/>
      <c r="D12" t="s">
        <v>24</v>
      </c>
      <c r="F12" t="str" cm="1">
        <f t="array" ref="F12">pygetattr(E12, "Date")</f>
        <v>Promise&lt;PENDING_PREDECENTS&gt;</v>
      </c>
      <c r="G12" t="str" cm="1">
        <f t="array" ref="G12">pygetattr(E12, "Close")</f>
        <v>Promise&lt;PENDING_PREDECENTS&gt;</v>
      </c>
      <c r="H12" t="str" cm="1">
        <f t="array" ref="H12">pygetattr(G12, D12)</f>
        <v>Promise&lt;PENDING_PREDECENTS&gt;</v>
      </c>
      <c r="I12" s="9" t="str" cm="1">
        <f t="array" ref="I12">pygetitem(H12,0)</f>
        <v>Promise&lt;PENDING_PREDECENTS&gt;</v>
      </c>
      <c r="J12" t="str" cm="1">
        <f t="array" ref="J12">pydiv(H12, I12)</f>
        <v>Promise&lt;PENDING_PREDECENTS&gt;</v>
      </c>
      <c r="K12" t="str" cm="1">
        <f t="array" ref="K12">pytype(J12)</f>
        <v>Promise&lt;PENDING_PREDECENTS&gt;</v>
      </c>
      <c r="Q12" t="str">
        <f t="shared" si="0"/>
        <v>META</v>
      </c>
      <c r="R12" t="str">
        <f t="shared" si="1"/>
        <v>Promise&lt;PENDING_PREDECENTS&gt;</v>
      </c>
      <c r="S12" t="str" cm="1">
        <f t="array" ref="S12">pydiv(H12, pygetitem(H12,0))</f>
        <v>Promise&lt;PENDING_PREDECENTS&gt;</v>
      </c>
      <c r="T12" t="str" cm="1">
        <f t="array" ref="T12">mpl_add_line_unique($Q$3,R12,S12,Q12, U12, W12,1.2)</f>
        <v>Promise&lt;PENDING_PREDECENTS&gt;</v>
      </c>
      <c r="U12" s="9" t="s">
        <v>25</v>
      </c>
      <c r="W12" t="str" cm="1">
        <f t="array" ref="W12">pygetitem($AA$7, X12)</f>
        <v>PyObj&lt;ex1$W$1299795d7e367b278317936f6cb96d628fbfdba432005bc97446bf099c53ad21e7&gt;_0</v>
      </c>
      <c r="X12">
        <v>6</v>
      </c>
      <c r="Y12" s="4" t="str" cm="1">
        <f t="array" ref="Y12">visualise_color(pymul(W12, 255))</f>
        <v>[227 119 194]</v>
      </c>
    </row>
    <row r="13" spans="1:28" x14ac:dyDescent="0.25">
      <c r="A13" s="9"/>
      <c r="D13" t="s">
        <v>28</v>
      </c>
      <c r="F13" t="str" cm="1">
        <f t="array" ref="F13">pygetattr(E13, "Date")</f>
        <v>Promise&lt;PENDING_PREDECENTS&gt;</v>
      </c>
      <c r="G13" t="str" cm="1">
        <f t="array" ref="G13">pygetattr(E13, "Close")</f>
        <v>Promise&lt;PENDING_PREDECENTS&gt;</v>
      </c>
      <c r="H13" t="str" cm="1">
        <f t="array" ref="H13">pygetattr(G13, D13)</f>
        <v>Promise&lt;PENDING_PREDECENTS&gt;</v>
      </c>
      <c r="I13" s="9" t="str" cm="1">
        <f t="array" ref="I13">pygetitem(H13,0)</f>
        <v>Promise&lt;PENDING_PREDECENTS&gt;</v>
      </c>
      <c r="J13" t="str" cm="1">
        <f t="array" ref="J13">pydiv(H13, I13)</f>
        <v>Promise&lt;PENDING_PREDECENTS&gt;</v>
      </c>
      <c r="K13" t="str" cm="1">
        <f t="array" ref="K13">pytype(J13)</f>
        <v>Promise&lt;PENDING_PREDECENTS&gt;</v>
      </c>
      <c r="Q13" t="str">
        <f t="shared" si="0"/>
        <v>NFLX</v>
      </c>
      <c r="R13" t="str">
        <f t="shared" si="1"/>
        <v>Promise&lt;PENDING_PREDECENTS&gt;</v>
      </c>
      <c r="S13" t="str" cm="1">
        <f t="array" ref="S13">pydiv(H13, pygetitem(H13,0))</f>
        <v>Promise&lt;PENDING_PREDECENTS&gt;</v>
      </c>
      <c r="T13" t="str" cm="1">
        <f t="array" ref="T13">mpl_add_line_unique($Q$3,R13,S13,Q13, U13, W13,1.2)</f>
        <v>Promise&lt;PENDING_PREDECENTS&gt;</v>
      </c>
      <c r="U13" s="9" t="s">
        <v>25</v>
      </c>
      <c r="W13" t="str" cm="1">
        <f t="array" ref="W13">pygetitem($AA$7, X13)</f>
        <v>PyObj&lt;ex1$W$13ed1156d890f9da46f083c0130b0e5ebc1762120148b6015386de04ae94995ef4&gt;_0</v>
      </c>
      <c r="X13">
        <v>7</v>
      </c>
      <c r="Y13" s="11" t="str" cm="1">
        <f t="array" ref="Y13">visualise_color(pymul(W13, 255))</f>
        <v>[127 127 127]</v>
      </c>
    </row>
    <row r="14" spans="1:28" x14ac:dyDescent="0.25">
      <c r="A14" s="9"/>
      <c r="D14" t="s">
        <v>29</v>
      </c>
      <c r="F14" t="str" cm="1">
        <f t="array" ref="F14">pygetattr(E14, "Date")</f>
        <v>Promise&lt;PENDING_PREDECENTS&gt;</v>
      </c>
      <c r="G14" t="str" cm="1">
        <f t="array" ref="G14">pygetattr(E14, "Close")</f>
        <v>Promise&lt;PENDING_PREDECENTS&gt;</v>
      </c>
      <c r="H14" t="str" cm="1">
        <f t="array" ref="H14">pygetattr(G14, D14)</f>
        <v>Promise&lt;PENDING_PREDECENTS&gt;</v>
      </c>
      <c r="I14" s="9" t="str" cm="1">
        <f t="array" ref="I14">pygetitem(H14,0)</f>
        <v>Promise&lt;PENDING_PREDECENTS&gt;</v>
      </c>
      <c r="J14" t="str" cm="1">
        <f t="array" ref="J14">pydiv(H14, I14)</f>
        <v>Promise&lt;PENDING_PREDECENTS&gt;</v>
      </c>
      <c r="K14" t="str" cm="1">
        <f t="array" ref="K14">pytype(J14)</f>
        <v>Promise&lt;PENDING_PREDECENTS&gt;</v>
      </c>
      <c r="Q14" t="str">
        <f t="shared" si="0"/>
        <v>AMD</v>
      </c>
      <c r="R14" t="str">
        <f t="shared" si="1"/>
        <v>Promise&lt;PENDING_PREDECENTS&gt;</v>
      </c>
      <c r="S14" t="str" cm="1">
        <f t="array" ref="S14">pydiv(H14, pygetitem(H14,0))</f>
        <v>Promise&lt;PENDING_PREDECENTS&gt;</v>
      </c>
      <c r="T14" t="str" cm="1">
        <f t="array" ref="T14">mpl_add_line_unique($Q$3,R14,S14,Q14, U14, W14,1.2)</f>
        <v>Promise&lt;PENDING_PREDECENTS&gt;</v>
      </c>
      <c r="U14" s="9" t="s">
        <v>25</v>
      </c>
      <c r="W14" t="str" cm="1">
        <f t="array" ref="W14">pygetitem($AA$7, X14)</f>
        <v>PyObj&lt;ex1$W$14c3c4e483ec9e52bc43dee1665dc97ab027915500156033298badc0c97e96c3b6&gt;_0</v>
      </c>
      <c r="X14">
        <v>8</v>
      </c>
      <c r="Y14" s="13" t="str" cm="1">
        <f t="array" ref="Y14">visualise_color(pymul(W14, 255))</f>
        <v>[188 189  34]</v>
      </c>
    </row>
    <row r="15" spans="1:28" x14ac:dyDescent="0.25">
      <c r="A15" s="9"/>
      <c r="D15" t="s">
        <v>30</v>
      </c>
      <c r="F15" t="str" cm="1">
        <f t="array" ref="F15">pygetattr(E15, "Date")</f>
        <v>Promise&lt;PENDING_PREDECENTS&gt;</v>
      </c>
      <c r="G15" t="str" cm="1">
        <f t="array" ref="G15">pygetattr(E15, "Close")</f>
        <v>Promise&lt;PENDING_PREDECENTS&gt;</v>
      </c>
      <c r="H15" t="str" cm="1">
        <f t="array" ref="H15">pygetattr(G15, D15)</f>
        <v>Promise&lt;PENDING_PREDECENTS&gt;</v>
      </c>
      <c r="I15" s="9" t="str" cm="1">
        <f t="array" ref="I15">pygetitem(H15,0)</f>
        <v>Promise&lt;PENDING_PREDECENTS&gt;</v>
      </c>
      <c r="J15" t="str" cm="1">
        <f t="array" ref="J15">pydiv(H15, I15)</f>
        <v>Promise&lt;PENDING_PREDECENTS&gt;</v>
      </c>
      <c r="K15" t="str" cm="1">
        <f t="array" ref="K15">pytype(J15)</f>
        <v>Promise&lt;PENDING_PREDECENTS&gt;</v>
      </c>
      <c r="Q15" t="str">
        <f t="shared" si="0"/>
        <v>INTC</v>
      </c>
      <c r="R15" t="str">
        <f t="shared" si="1"/>
        <v>Promise&lt;PENDING_PREDECENTS&gt;</v>
      </c>
      <c r="S15" t="str" cm="1">
        <f t="array" ref="S15">pydiv(H15, pygetitem(H15,0))</f>
        <v>Promise&lt;PENDING_PREDECENTS&gt;</v>
      </c>
      <c r="T15" t="str" cm="1">
        <f t="array" ref="T15">mpl_add_line_unique($Q$3,R15,S15,Q15, U15, W15,1.2)</f>
        <v>Promise&lt;PENDING_PREDECENTS&gt;</v>
      </c>
      <c r="U15" s="9" t="s">
        <v>25</v>
      </c>
      <c r="W15" t="str" cm="1">
        <f t="array" ref="W15">pygetitem($AA$7, X15)</f>
        <v>PyObj&lt;ex1$W$15a7459bde3f11791daa679ff7798482af47947036adfb3f4622d2ea58aac461bf&gt;_0</v>
      </c>
      <c r="X15">
        <v>9</v>
      </c>
      <c r="Y15" s="12" t="str" cm="1">
        <f t="array" ref="Y15">visualise_color(pymul(W15, 255))</f>
        <v>[ 23 190 207]</v>
      </c>
    </row>
    <row r="16" spans="1:28" x14ac:dyDescent="0.25">
      <c r="A16" s="9"/>
      <c r="D16" t="s">
        <v>31</v>
      </c>
      <c r="F16" t="str" cm="1">
        <f t="array" ref="F16">pygetattr(E16, "Date")</f>
        <v>Promise&lt;PENDING_PREDECENTS&gt;</v>
      </c>
      <c r="G16" t="str" cm="1">
        <f t="array" ref="G16">pygetattr(E16, "Close")</f>
        <v>Promise&lt;PENDING_PREDECENTS&gt;</v>
      </c>
      <c r="H16" t="str" cm="1">
        <f t="array" ref="H16">pygetattr(G16, D16)</f>
        <v>Promise&lt;PENDING_PREDECENTS&gt;</v>
      </c>
      <c r="I16" s="9" t="str" cm="1">
        <f t="array" ref="I16">pygetitem(H16,0)</f>
        <v>Promise&lt;PENDING_PREDECENTS&gt;</v>
      </c>
      <c r="J16" t="str" cm="1">
        <f t="array" ref="J16">pydiv(H16, I16)</f>
        <v>Promise&lt;PENDING_PREDECENTS&gt;</v>
      </c>
      <c r="K16" t="str" cm="1">
        <f t="array" ref="K16">pytype(J16)</f>
        <v>Promise&lt;PENDING_PREDECENTS&gt;</v>
      </c>
      <c r="Q16" t="str">
        <f t="shared" si="0"/>
        <v>BABA</v>
      </c>
      <c r="R16" t="str">
        <f t="shared" si="1"/>
        <v>Promise&lt;PENDING_PREDECENTS&gt;</v>
      </c>
      <c r="S16" t="str" cm="1">
        <f t="array" ref="S16">pydiv(H16, pygetitem(H16,0))</f>
        <v>Promise&lt;PENDING_PREDECENTS&gt;</v>
      </c>
      <c r="T16" t="str" cm="1">
        <f t="array" ref="T16">mpl_add_line_unique($Q$3,R16,S16,Q16, U16, W16,1.2)</f>
        <v>Promise&lt;PENDING_PREDECENTS&gt;</v>
      </c>
      <c r="U16" t="s">
        <v>41</v>
      </c>
      <c r="W16" t="str" cm="1">
        <f t="array" ref="W16">pygetitem($AA$7, X16)</f>
        <v>PyObj&lt;ex1$W$16372eed4edb8e5e946babdf0d18df660c78b7329cfc7c38f23065c95d07e94dfa&gt;_0</v>
      </c>
      <c r="X16">
        <v>0</v>
      </c>
      <c r="Y16" s="3" t="str" cm="1">
        <f t="array" ref="Y16">visualise_color(pymul(W16, 255))</f>
        <v>[ 31 119 180]</v>
      </c>
    </row>
    <row r="17" spans="1:25" x14ac:dyDescent="0.25">
      <c r="A17" s="9"/>
      <c r="D17" t="s">
        <v>32</v>
      </c>
      <c r="F17" t="str" cm="1">
        <f t="array" ref="F17">pygetattr(E17, "Date")</f>
        <v>Promise&lt;PENDING_PREDECENTS&gt;</v>
      </c>
      <c r="G17" t="str" cm="1">
        <f t="array" ref="G17">pygetattr(E17, "Close")</f>
        <v>Promise&lt;PENDING_PREDECENTS&gt;</v>
      </c>
      <c r="H17" t="str" cm="1">
        <f t="array" ref="H17">pygetattr(G17, D17)</f>
        <v>Promise&lt;PENDING_PREDECENTS&gt;</v>
      </c>
      <c r="I17" s="9" t="str" cm="1">
        <f t="array" ref="I17">pygetitem(H17,0)</f>
        <v>Promise&lt;PENDING_PREDECENTS&gt;</v>
      </c>
      <c r="J17" t="str" cm="1">
        <f t="array" ref="J17">pydiv(H17, I17)</f>
        <v>Promise&lt;PENDING_PREDECENTS&gt;</v>
      </c>
      <c r="K17" t="str" cm="1">
        <f t="array" ref="K17">pytype(J17)</f>
        <v>Promise&lt;PENDING_PREDECENTS&gt;</v>
      </c>
      <c r="Q17" t="str">
        <f t="shared" si="0"/>
        <v>CRM</v>
      </c>
      <c r="R17" t="str">
        <f t="shared" si="1"/>
        <v>Promise&lt;PENDING_PREDECENTS&gt;</v>
      </c>
      <c r="S17" t="str" cm="1">
        <f t="array" ref="S17">pydiv(H17, pygetitem(H17,0))</f>
        <v>Promise&lt;PENDING_PREDECENTS&gt;</v>
      </c>
      <c r="T17" t="str" cm="1">
        <f t="array" ref="T17">mpl_add_line_unique($Q$3,R17,S17,Q17, U17, W17,1.2)</f>
        <v>Promise&lt;PENDING_PREDECENTS&gt;</v>
      </c>
      <c r="U17" t="s">
        <v>41</v>
      </c>
      <c r="W17" t="str" cm="1">
        <f t="array" ref="W17">pygetitem($AA$7, X17)</f>
        <v>PyObj&lt;ex1$W$177ee01c1fce27ae26319f696aa9518185da5d89bae52e86e5e1670f807c17ca9e&gt;_0</v>
      </c>
      <c r="X17">
        <v>1</v>
      </c>
      <c r="Y17" s="8" t="str" cm="1">
        <f t="array" ref="Y17">visualise_color(pymul(W17, 255))</f>
        <v>[255 127  14]</v>
      </c>
    </row>
    <row r="18" spans="1:25" x14ac:dyDescent="0.25">
      <c r="A18" s="9"/>
      <c r="D18" t="s">
        <v>33</v>
      </c>
      <c r="F18" t="str" cm="1">
        <f t="array" ref="F18">pygetattr(E18, "Date")</f>
        <v>Promise&lt;PENDING_PREDECENTS&gt;</v>
      </c>
      <c r="G18" t="str" cm="1">
        <f t="array" ref="G18">pygetattr(E18, "Close")</f>
        <v>Promise&lt;PENDING_PREDECENTS&gt;</v>
      </c>
      <c r="H18" t="str" cm="1">
        <f t="array" ref="H18">pygetattr(G18, D18)</f>
        <v>Promise&lt;PENDING_PREDECENTS&gt;</v>
      </c>
      <c r="I18" s="9" t="str" cm="1">
        <f t="array" ref="I18">pygetitem(H18,0)</f>
        <v>Promise&lt;PENDING_PREDECENTS&gt;</v>
      </c>
      <c r="J18" t="str" cm="1">
        <f t="array" ref="J18">pydiv(H18, I18)</f>
        <v>Promise&lt;PENDING_PREDECENTS&gt;</v>
      </c>
      <c r="K18" t="str" cm="1">
        <f t="array" ref="K18">pytype(J18)</f>
        <v>Promise&lt;PENDING_PREDECENTS&gt;</v>
      </c>
      <c r="Q18" t="str">
        <f t="shared" si="0"/>
        <v>ADBE</v>
      </c>
      <c r="R18" t="str">
        <f t="shared" si="1"/>
        <v>Promise&lt;PENDING_PREDECENTS&gt;</v>
      </c>
      <c r="S18" t="str" cm="1">
        <f t="array" ref="S18">pydiv(H18, pygetitem(H18,0))</f>
        <v>Promise&lt;PENDING_PREDECENTS&gt;</v>
      </c>
      <c r="T18" t="str" cm="1">
        <f t="array" ref="T18">mpl_add_line_unique($Q$3,R18,S18,Q18, U18, W18,1.2)</f>
        <v>Promise&lt;PENDING_PREDECENTS&gt;</v>
      </c>
      <c r="U18" t="s">
        <v>41</v>
      </c>
      <c r="W18" t="str" cm="1">
        <f t="array" ref="W18">pygetitem($AA$7, X18)</f>
        <v>PyObj&lt;ex1$W$1893f41f94b2e7fefdd25d841e21442abfbc3a766cf9771abdc0ea45d6bea14cd5&gt;_0</v>
      </c>
      <c r="X18">
        <v>2</v>
      </c>
      <c r="Y18" s="7" t="str" cm="1">
        <f t="array" ref="Y18">visualise_color(pymul(W18, 255))</f>
        <v>[ 44 160  44]</v>
      </c>
    </row>
    <row r="19" spans="1:25" x14ac:dyDescent="0.25">
      <c r="A19" s="9"/>
      <c r="D19" t="s">
        <v>34</v>
      </c>
      <c r="F19" t="str" cm="1">
        <f t="array" ref="F19">pygetattr(E19, "Date")</f>
        <v>Promise&lt;PENDING_PREDECENTS&gt;</v>
      </c>
      <c r="G19" t="str" cm="1">
        <f t="array" ref="G19">pygetattr(E19, "Close")</f>
        <v>Promise&lt;PENDING_PREDECENTS&gt;</v>
      </c>
      <c r="H19" t="str" cm="1">
        <f t="array" ref="H19">pygetattr(G19, D19)</f>
        <v>Promise&lt;PENDING_PREDECENTS&gt;</v>
      </c>
      <c r="I19" s="9" t="str" cm="1">
        <f t="array" ref="I19">pygetitem(H19,0)</f>
        <v>Promise&lt;PENDING_PREDECENTS&gt;</v>
      </c>
      <c r="J19" t="str" cm="1">
        <f t="array" ref="J19">pydiv(H19, I19)</f>
        <v>Promise&lt;PENDING_PREDECENTS&gt;</v>
      </c>
      <c r="K19" t="str" cm="1">
        <f t="array" ref="K19">pytype(J19)</f>
        <v>Promise&lt;PENDING_PREDECENTS&gt;</v>
      </c>
      <c r="Q19" t="str">
        <f t="shared" si="0"/>
        <v>ORCL</v>
      </c>
      <c r="R19" t="str">
        <f t="shared" si="1"/>
        <v>Promise&lt;PENDING_PREDECENTS&gt;</v>
      </c>
      <c r="S19" t="str" cm="1">
        <f t="array" ref="S19">pydiv(H19, pygetitem(H19,0))</f>
        <v>Promise&lt;PENDING_PREDECENTS&gt;</v>
      </c>
      <c r="T19" t="str" cm="1">
        <f t="array" ref="T19">mpl_add_line_unique($Q$3,R19,S19,Q19, U19, W19,1.2)</f>
        <v>Promise&lt;PENDING_PREDECENTS&gt;</v>
      </c>
      <c r="U19" t="s">
        <v>41</v>
      </c>
      <c r="W19" t="str" cm="1">
        <f t="array" ref="W19">pygetitem($AA$7, X19)</f>
        <v>PyObj&lt;ex1$W$19c064527bf874deee129a865854224ac78509fa15f6cfd6e2d140bae08494c354&gt;_0</v>
      </c>
      <c r="X19">
        <v>3</v>
      </c>
      <c r="Y19" s="6" t="str" cm="1">
        <f t="array" ref="Y19">visualise_color(pymul(W19, 255))</f>
        <v>[214  39  40]</v>
      </c>
    </row>
    <row r="20" spans="1:25" x14ac:dyDescent="0.25">
      <c r="A20" s="9"/>
      <c r="D20" t="s">
        <v>35</v>
      </c>
      <c r="F20" t="str" cm="1">
        <f t="array" ref="F20">pygetattr(E20, "Date")</f>
        <v>Promise&lt;PENDING_PREDECENTS&gt;</v>
      </c>
      <c r="G20" t="str" cm="1">
        <f t="array" ref="G20">pygetattr(E20, "Close")</f>
        <v>Promise&lt;PENDING_PREDECENTS&gt;</v>
      </c>
      <c r="H20" t="str" cm="1">
        <f t="array" ref="H20">pygetattr(G20, D20)</f>
        <v>Promise&lt;PENDING_PREDECENTS&gt;</v>
      </c>
      <c r="I20" s="9" t="str" cm="1">
        <f t="array" ref="I20">pygetitem(H20,0)</f>
        <v>Promise&lt;PENDING_PREDECENTS&gt;</v>
      </c>
      <c r="J20" t="str" cm="1">
        <f t="array" ref="J20">pydiv(H20, I20)</f>
        <v>Promise&lt;PENDING_PREDECENTS&gt;</v>
      </c>
      <c r="K20" t="str" cm="1">
        <f t="array" ref="K20">pytype(J20)</f>
        <v>Promise&lt;PENDING_PREDECENTS&gt;</v>
      </c>
      <c r="Q20" t="str">
        <f t="shared" si="0"/>
        <v>PYPL</v>
      </c>
      <c r="R20" t="str">
        <f t="shared" si="1"/>
        <v>Promise&lt;PENDING_PREDECENTS&gt;</v>
      </c>
      <c r="S20" t="str" cm="1">
        <f t="array" ref="S20">pydiv(H20, pygetitem(H20,0))</f>
        <v>Promise&lt;PENDING_PREDECENTS&gt;</v>
      </c>
      <c r="T20" t="str" cm="1">
        <f t="array" ref="T20">mpl_add_line_unique($Q$3,R20,S20,Q20, U20, W20,1.2)</f>
        <v>Promise&lt;PENDING_PREDECENTS&gt;</v>
      </c>
      <c r="U20" t="s">
        <v>41</v>
      </c>
      <c r="W20" t="str" cm="1">
        <f t="array" ref="W20">pygetitem($AA$7, X20)</f>
        <v>PyObj&lt;ex1$W$201e8ec881671dfcaccfcee3ae56ecc781e62d6bec891a1daaf90650d452d5b11e&gt;_0</v>
      </c>
      <c r="X20">
        <v>4</v>
      </c>
      <c r="Y20" s="2" t="str" cm="1">
        <f t="array" ref="Y20">visualise_color(pymul(W20, 255))</f>
        <v>[148 103 189]</v>
      </c>
    </row>
    <row r="21" spans="1:25" x14ac:dyDescent="0.25">
      <c r="A21" s="9"/>
      <c r="D21" t="s">
        <v>36</v>
      </c>
      <c r="F21" t="str" cm="1">
        <f t="array" ref="F21">pygetattr(E21, "Date")</f>
        <v>Promise&lt;PENDING_PREDECENTS&gt;</v>
      </c>
      <c r="G21" t="str" cm="1">
        <f t="array" ref="G21">pygetattr(E21, "Close")</f>
        <v>Promise&lt;PENDING_PREDECENTS&gt;</v>
      </c>
      <c r="H21" t="str" cm="1">
        <f t="array" ref="H21">pygetattr(G21, D21)</f>
        <v>Promise&lt;PENDING_PREDECENTS&gt;</v>
      </c>
      <c r="I21" s="9" t="str" cm="1">
        <f t="array" ref="I21">pygetitem(H21,0)</f>
        <v>Promise&lt;PENDING_PREDECENTS&gt;</v>
      </c>
      <c r="J21" t="str" cm="1">
        <f t="array" ref="J21">pydiv(H21, I21)</f>
        <v>Promise&lt;PENDING_PREDECENTS&gt;</v>
      </c>
      <c r="K21" t="str" cm="1">
        <f t="array" ref="K21">pytype(J21)</f>
        <v>Promise&lt;PENDING_PREDECENTS&gt;</v>
      </c>
      <c r="Q21" t="str">
        <f t="shared" si="0"/>
        <v>SHOP</v>
      </c>
      <c r="R21" t="str">
        <f t="shared" si="1"/>
        <v>Promise&lt;PENDING_PREDECENTS&gt;</v>
      </c>
      <c r="S21" t="str" cm="1">
        <f t="array" ref="S21">pydiv(H21, pygetitem(H21,0))</f>
        <v>Promise&lt;PENDING_PREDECENTS&gt;</v>
      </c>
      <c r="T21" t="str" cm="1">
        <f t="array" ref="T21">mpl_add_line_unique($Q$3,R21,S21,Q21, U21, W21,1.2)</f>
        <v>Promise&lt;PENDING_PREDECENTS&gt;</v>
      </c>
      <c r="U21" t="s">
        <v>41</v>
      </c>
      <c r="W21" t="str" cm="1">
        <f t="array" ref="W21">pygetitem($AA$7, X21)</f>
        <v>PyObj&lt;ex1$W$216c8e3119fd2a31d7c663b4ff7fd8d0a672b31310649c86d59b20f9b55a467ab6&gt;_0</v>
      </c>
      <c r="X21">
        <v>5</v>
      </c>
      <c r="Y21" s="5" t="str" cm="1">
        <f t="array" ref="Y21">visualise_color(pymul(W21, 255))</f>
        <v>[140  86  75]</v>
      </c>
    </row>
    <row r="22" spans="1:25" x14ac:dyDescent="0.25">
      <c r="A22" s="9"/>
      <c r="D22" t="s">
        <v>37</v>
      </c>
      <c r="F22" t="str" cm="1">
        <f t="array" ref="F22">pygetattr(E22, "Date")</f>
        <v>Promise&lt;PENDING_PREDECENTS&gt;</v>
      </c>
      <c r="G22" t="str" cm="1">
        <f t="array" ref="G22">pygetattr(E22, "Close")</f>
        <v>Promise&lt;PENDING_PREDECENTS&gt;</v>
      </c>
      <c r="H22" t="str" cm="1">
        <f t="array" ref="H22">pygetattr(G22, D22)</f>
        <v>Promise&lt;PENDING_PREDECENTS&gt;</v>
      </c>
      <c r="I22" s="9" t="str" cm="1">
        <f t="array" ref="I22">pygetitem(H22,0)</f>
        <v>Promise&lt;PENDING_PREDECENTS&gt;</v>
      </c>
      <c r="J22" t="str" cm="1">
        <f t="array" ref="J22">pydiv(H22, I22)</f>
        <v>Promise&lt;PENDING_PREDECENTS&gt;</v>
      </c>
      <c r="K22" t="str" cm="1">
        <f t="array" ref="K22">pytype(J22)</f>
        <v>Promise&lt;PENDING_PREDECENTS&gt;</v>
      </c>
      <c r="Q22" t="str">
        <f t="shared" si="0"/>
        <v>UBER</v>
      </c>
      <c r="R22" t="str">
        <f t="shared" si="1"/>
        <v>Promise&lt;PENDING_PREDECENTS&gt;</v>
      </c>
      <c r="S22" t="str" cm="1">
        <f t="array" ref="S22">pydiv(H22, pygetitem(H22,0))</f>
        <v>Promise&lt;PENDING_PREDECENTS&gt;</v>
      </c>
      <c r="T22" t="str" cm="1">
        <f t="array" ref="T22">mpl_add_line_unique($Q$3,R22,S22,Q22, U22, W22,1.2)</f>
        <v>Promise&lt;PENDING_PREDECENTS&gt;</v>
      </c>
      <c r="U22" t="s">
        <v>41</v>
      </c>
      <c r="W22" t="str" cm="1">
        <f t="array" ref="W22">pygetitem($AA$7, X22)</f>
        <v>PyObj&lt;ex1$W$2299795d7e367b278317936f6cb96d628fbfdba432005bc97446bf099c53ad21e7&gt;_0</v>
      </c>
      <c r="X22">
        <v>6</v>
      </c>
      <c r="Y22" s="4" t="str" cm="1">
        <f t="array" ref="Y22">visualise_color(pymul(W22, 255))</f>
        <v>[227 119 194]</v>
      </c>
    </row>
    <row r="23" spans="1:25" x14ac:dyDescent="0.25">
      <c r="A23" s="9"/>
      <c r="D23" t="s">
        <v>38</v>
      </c>
      <c r="F23" t="str" cm="1">
        <f t="array" ref="F23">pygetattr(E23, "Date")</f>
        <v>Promise&lt;PENDING_PREDECENTS&gt;</v>
      </c>
      <c r="G23" t="str" cm="1">
        <f t="array" ref="G23">pygetattr(E23, "Close")</f>
        <v>Promise&lt;PENDING_PREDECENTS&gt;</v>
      </c>
      <c r="H23" t="str" cm="1">
        <f t="array" ref="H23">pygetattr(G23, D23)</f>
        <v>Promise&lt;PENDING_PREDECENTS&gt;</v>
      </c>
      <c r="I23" s="9" t="str" cm="1">
        <f t="array" ref="I23">pygetitem(H23,0)</f>
        <v>Promise&lt;PENDING_PREDECENTS&gt;</v>
      </c>
      <c r="J23" t="str" cm="1">
        <f t="array" ref="J23">pydiv(H23, I23)</f>
        <v>Promise&lt;PENDING_PREDECENTS&gt;</v>
      </c>
      <c r="K23" t="str" cm="1">
        <f t="array" ref="K23">pytype(J23)</f>
        <v>Promise&lt;PENDING_PREDECENTS&gt;</v>
      </c>
      <c r="Q23" t="str">
        <f t="shared" si="0"/>
        <v>LYFT</v>
      </c>
      <c r="R23" t="str">
        <f t="shared" si="1"/>
        <v>Promise&lt;PENDING_PREDECENTS&gt;</v>
      </c>
      <c r="S23" t="str" cm="1">
        <f t="array" ref="S23">pydiv(H23, pygetitem(H23,0))</f>
        <v>Promise&lt;PENDING_PREDECENTS&gt;</v>
      </c>
      <c r="T23" t="str" cm="1">
        <f t="array" ref="T23">mpl_add_line_unique($Q$3,R23,S23,Q23, U23, W23,1.2)</f>
        <v>Promise&lt;PENDING_PREDECENTS&gt;</v>
      </c>
      <c r="U23" t="s">
        <v>41</v>
      </c>
      <c r="W23" t="str" cm="1">
        <f t="array" ref="W23">pygetitem($AA$7, X23)</f>
        <v>PyObj&lt;ex1$W$23ed1156d890f9da46f083c0130b0e5ebc1762120148b6015386de04ae94995ef4&gt;_0</v>
      </c>
      <c r="X23">
        <v>7</v>
      </c>
      <c r="Y23" s="11" t="str" cm="1">
        <f t="array" ref="Y23">visualise_color(pymul(W23, 255))</f>
        <v>[127 127 127]</v>
      </c>
    </row>
    <row r="24" spans="1:25" x14ac:dyDescent="0.25">
      <c r="A24" s="9"/>
      <c r="D24" t="s">
        <v>39</v>
      </c>
      <c r="F24" t="str" cm="1">
        <f t="array" ref="F24">pygetattr(E24, "Date")</f>
        <v>Promise&lt;PENDING_PREDECENTS&gt;</v>
      </c>
      <c r="G24" t="str" cm="1">
        <f t="array" ref="G24">pygetattr(E24, "Close")</f>
        <v>Promise&lt;PENDING_PREDECENTS&gt;</v>
      </c>
      <c r="H24" t="str" cm="1">
        <f t="array" ref="H24">pygetattr(G24, D24)</f>
        <v>Promise&lt;PENDING_PREDECENTS&gt;</v>
      </c>
      <c r="I24" s="9" t="str" cm="1">
        <f t="array" ref="I24">pygetitem(H24,0)</f>
        <v>Promise&lt;PENDING_PREDECENTS&gt;</v>
      </c>
      <c r="J24" t="str" cm="1">
        <f t="array" ref="J24">pydiv(H24, I24)</f>
        <v>Promise&lt;PENDING_PREDECENTS&gt;</v>
      </c>
      <c r="K24" t="str" cm="1">
        <f t="array" ref="K24">pytype(J24)</f>
        <v>Promise&lt;PENDING_PREDECENTS&gt;</v>
      </c>
      <c r="Q24" t="str">
        <f t="shared" si="0"/>
        <v>DIS</v>
      </c>
      <c r="R24" t="str">
        <f t="shared" si="1"/>
        <v>Promise&lt;PENDING_PREDECENTS&gt;</v>
      </c>
      <c r="S24" t="str" cm="1">
        <f t="array" ref="S24">pydiv(H24, pygetitem(H24,0))</f>
        <v>Promise&lt;PENDING_PREDECENTS&gt;</v>
      </c>
      <c r="T24" t="str" cm="1">
        <f t="array" ref="T24">mpl_add_line_unique($Q$3,R24,S24,Q24, U24, W24,1.2)</f>
        <v>Promise&lt;PENDING_PREDECENTS&gt;</v>
      </c>
      <c r="U24" t="s">
        <v>41</v>
      </c>
      <c r="W24" t="str" cm="1">
        <f t="array" ref="W24">pygetitem($AA$7, X24)</f>
        <v>PyObj&lt;ex1$W$24c3c4e483ec9e52bc43dee1665dc97ab027915500156033298badc0c97e96c3b6&gt;_0</v>
      </c>
      <c r="X24">
        <v>8</v>
      </c>
      <c r="Y24" s="13" t="str" cm="1">
        <f t="array" ref="Y24">visualise_color(pymul(W24, 255))</f>
        <v>[188 189  34]</v>
      </c>
    </row>
    <row r="25" spans="1:25" x14ac:dyDescent="0.25">
      <c r="D25" t="s">
        <v>40</v>
      </c>
      <c r="F25" t="str" cm="1">
        <f t="array" ref="F25">pygetattr(E25, "Date")</f>
        <v>Promise&lt;PENDING_PREDECENTS&gt;</v>
      </c>
      <c r="G25" t="str" cm="1">
        <f t="array" ref="G25">pygetattr(E25, "Close")</f>
        <v>Promise&lt;PENDING_PREDECENTS&gt;</v>
      </c>
      <c r="H25" t="str" cm="1">
        <f t="array" ref="H25">pygetattr(G25, D25)</f>
        <v>Promise&lt;PENDING_PREDECENTS&gt;</v>
      </c>
      <c r="I25" s="9" t="str" cm="1">
        <f t="array" ref="I25">pygetitem(H25,0)</f>
        <v>Promise&lt;PENDING_PREDECENTS&gt;</v>
      </c>
      <c r="J25" t="str" cm="1">
        <f t="array" ref="J25">pydiv(H25, I25)</f>
        <v>Promise&lt;PENDING_PREDECENTS&gt;</v>
      </c>
      <c r="K25" t="str" cm="1">
        <f t="array" ref="K25">pytype(J25)</f>
        <v>Promise&lt;PENDING_PREDECENTS&gt;</v>
      </c>
      <c r="Q25" t="str">
        <f t="shared" si="0"/>
        <v>NKE</v>
      </c>
      <c r="R25" t="str">
        <f t="shared" si="1"/>
        <v>Promise&lt;PENDING_PREDECENTS&gt;</v>
      </c>
      <c r="S25" t="str" cm="1">
        <f t="array" ref="S25">pydiv(H25, pygetitem(H25,0))</f>
        <v>Promise&lt;PENDING_PREDECENTS&gt;</v>
      </c>
      <c r="T25" t="str" cm="1">
        <f t="array" ref="T25">mpl_add_line_unique($Q$3,R25,S25,Q25, U25, W25,1.2)</f>
        <v>Promise&lt;PENDING_PREDECENTS&gt;</v>
      </c>
      <c r="U25" t="s">
        <v>41</v>
      </c>
      <c r="W25" t="str" cm="1">
        <f t="array" ref="W25">pygetitem($AA$7, X25)</f>
        <v>PyObj&lt;ex1$W$25a7459bde3f11791daa679ff7798482af47947036adfb3f4622d2ea58aac461bf&gt;_0</v>
      </c>
      <c r="X25">
        <v>9</v>
      </c>
      <c r="Y25" s="12" t="str" cm="1">
        <f t="array" ref="Y25">visualise_color(pymul(W25, 255))</f>
        <v>[ 23 190 207]</v>
      </c>
    </row>
    <row r="26" spans="1:25" x14ac:dyDescent="0.25">
      <c r="I26" s="9"/>
      <c r="U26" s="9"/>
    </row>
    <row r="27" spans="1:25" x14ac:dyDescent="0.25">
      <c r="I27" s="9"/>
      <c r="R27" s="9"/>
    </row>
    <row r="28" spans="1:25" x14ac:dyDescent="0.25">
      <c r="B28" t="str" cm="1">
        <f t="array" ref="B28">show(pygetattr(E6, "columns"))</f>
        <v>Promise&lt;PENDING_PREDECENTS&gt;</v>
      </c>
      <c r="F28" s="10" t="str" cm="1">
        <f t="array" ref="F28">show(F6)</f>
        <v>Promise&lt;PENDING_PREDECENTS&gt;</v>
      </c>
      <c r="H28" t="str" cm="1">
        <f t="array" ref="H28">show(H6)</f>
        <v>Promise&lt;PENDING_PREDECENTS&gt;</v>
      </c>
      <c r="J28" t="str" cm="1">
        <f t="array" ref="J28">show(J6)</f>
        <v>Promise&lt;PENDING_PREDECENTS&gt;</v>
      </c>
      <c r="R28" s="9"/>
    </row>
    <row r="29" spans="1:25" x14ac:dyDescent="0.25">
      <c r="F29" s="10"/>
      <c r="I29" s="9"/>
      <c r="P29" t="s">
        <v>3</v>
      </c>
      <c r="Q29" cm="1">
        <f t="array" ref="Q29">mpl_set_ax_title(Q3,$R$29)</f>
        <v>0.80218490923554608</v>
      </c>
      <c r="R29" s="9" t="s">
        <v>52</v>
      </c>
    </row>
    <row r="30" spans="1:25" x14ac:dyDescent="0.25">
      <c r="F30" s="10"/>
      <c r="I30" s="9"/>
    </row>
    <row r="31" spans="1:25" x14ac:dyDescent="0.25">
      <c r="A31" s="9"/>
      <c r="F31" s="10"/>
      <c r="P31" t="s">
        <v>5</v>
      </c>
      <c r="Q31" t="s">
        <v>10</v>
      </c>
      <c r="R31" t="str" cm="1">
        <f t="array" ref="R31">mpl_set_xax_name(Q3, Q31)</f>
        <v>PyObj&lt;ex1$R$31b5115e1b028ec6c13973f94ad989d7eabbc452898f2a676d60127de002660940&gt;</v>
      </c>
    </row>
    <row r="32" spans="1:25" x14ac:dyDescent="0.25">
      <c r="F32" s="10"/>
      <c r="P32" t="s">
        <v>4</v>
      </c>
      <c r="Q32" t="s">
        <v>11</v>
      </c>
      <c r="R32" t="str" cm="1">
        <f t="array" ref="R32">mpl_set_yax_name(Q3, Q32)</f>
        <v>PyObj&lt;ex1$R$325a777b4aba9430c2abd59e491256ec5963a215a800655bad7944329ee1557a66&gt;</v>
      </c>
    </row>
    <row r="33" spans="2:19" x14ac:dyDescent="0.25">
      <c r="F33" s="10"/>
    </row>
    <row r="34" spans="2:19" x14ac:dyDescent="0.25">
      <c r="F34" s="10"/>
      <c r="P34" t="s">
        <v>6</v>
      </c>
      <c r="Q34" t="str" cm="1">
        <f t="array" ref="Q34">mpl_add_legend(Q3,T6:T25,Q6:Q25,"upper left",TRUE,3)</f>
        <v>Promise&lt;PENDING_PREDECENTS&gt;</v>
      </c>
      <c r="R34" t="str" cm="1">
        <f t="array" ref="R34">pytype(Q34)</f>
        <v>Promise&lt;PENDING_PREDECENTS&gt;</v>
      </c>
    </row>
    <row r="35" spans="2:19" x14ac:dyDescent="0.25">
      <c r="F35" s="10"/>
      <c r="S35" t="str" cm="1">
        <f t="array" ref="S35">pyhash(T6:T21)</f>
        <v>Promise&lt;PENDING_PREDECENTS&gt;</v>
      </c>
    </row>
    <row r="36" spans="2:19" x14ac:dyDescent="0.25">
      <c r="B36" t="str" cm="1">
        <f t="array" ref="B36">get_stock_prices(D6,$E$3)</f>
        <v>OSError(22, 'Invalid argument')</v>
      </c>
      <c r="F36" s="10"/>
      <c r="P36" t="s">
        <v>48</v>
      </c>
      <c r="Q36">
        <f>E3</f>
        <v>1800</v>
      </c>
    </row>
    <row r="37" spans="2:19" x14ac:dyDescent="0.25">
      <c r="F37" s="10"/>
      <c r="P37" t="s">
        <v>12</v>
      </c>
      <c r="Q37" s="10">
        <f ca="1">TODAY() - Q36</f>
        <v>44044</v>
      </c>
      <c r="R37" s="10">
        <f ca="1">TODAY()</f>
        <v>45844</v>
      </c>
      <c r="S37" t="str" cm="1">
        <f t="array" aca="1" ref="S37" ca="1">mpl_set_xlims($Q$3, Q37:R37, S35)</f>
        <v>Promise&lt;PENDING_PREDECENTS&gt;</v>
      </c>
    </row>
    <row r="38" spans="2:19" x14ac:dyDescent="0.25">
      <c r="F38" s="10"/>
      <c r="P38" t="s">
        <v>13</v>
      </c>
      <c r="Q38">
        <v>0</v>
      </c>
      <c r="R38">
        <v>20</v>
      </c>
      <c r="S38" t="str" cm="1">
        <f t="array" ref="S38">mpl_set_ylims($Q$3, Q38:R38, S35)</f>
        <v>Promise&lt;PENDING_PREDECENTS&gt;</v>
      </c>
    </row>
    <row r="39" spans="2:19" x14ac:dyDescent="0.25">
      <c r="F39" s="10"/>
    </row>
    <row r="40" spans="2:19" x14ac:dyDescent="0.25">
      <c r="F40" s="10"/>
    </row>
    <row r="41" spans="2:19" x14ac:dyDescent="0.25">
      <c r="F41" s="10"/>
      <c r="P41" t="str" cm="1">
        <f t="array" aca="1" ref="P41" ca="1">pyhash(_xlfn.VSTACK(T6:T25, R31:R32, Q34, S37:S38, Q29))</f>
        <v>Promise&lt;PENDING_PREDECENTS&gt;</v>
      </c>
    </row>
    <row r="42" spans="2:19" x14ac:dyDescent="0.25">
      <c r="F42" s="10"/>
      <c r="P42" t="s">
        <v>14</v>
      </c>
      <c r="Q42" t="str" cm="1">
        <f t="array" aca="1" ref="Q42" ca="1">show_image(Q2,P42,P41)</f>
        <v>Promise&lt;PENDING_PREDECENTS&gt;</v>
      </c>
    </row>
    <row r="43" spans="2:19" x14ac:dyDescent="0.25">
      <c r="B43" t="str" cm="1">
        <f t="array" ref="B43">get_stock_prices(D6,$E$3)</f>
        <v>OSError(22, 'Invalid argument')</v>
      </c>
      <c r="F43" s="10"/>
    </row>
    <row r="44" spans="2:19" x14ac:dyDescent="0.25">
      <c r="F44" s="10"/>
    </row>
    <row r="45" spans="2:19" x14ac:dyDescent="0.25">
      <c r="F45" s="10"/>
    </row>
    <row r="46" spans="2:19" x14ac:dyDescent="0.25">
      <c r="F46" s="10"/>
    </row>
    <row r="47" spans="2:19" x14ac:dyDescent="0.25">
      <c r="F47" s="10"/>
    </row>
    <row r="48" spans="2:19" x14ac:dyDescent="0.25">
      <c r="B48" t="str" cm="1">
        <f t="array" ref="B48">get_stock_prices(D7,$E$3)</f>
        <v>OSError(22, 'Invalid argument')</v>
      </c>
      <c r="F48" s="10"/>
    </row>
    <row r="49" spans="2:6" x14ac:dyDescent="0.25">
      <c r="B49" t="str" cm="1">
        <f t="array" ref="B49">get_stock_prices(D8,$E$3)</f>
        <v>OSError(22, 'Invalid argument')</v>
      </c>
      <c r="F49" s="10"/>
    </row>
    <row r="50" spans="2:6" x14ac:dyDescent="0.25">
      <c r="B50" t="str" cm="1">
        <f t="array" ref="B50">get_stock_prices(D9,$E$3)</f>
        <v>OSError(22, 'Invalid argument')</v>
      </c>
      <c r="F50" s="10"/>
    </row>
    <row r="51" spans="2:6" x14ac:dyDescent="0.25">
      <c r="B51" t="str" cm="1">
        <f t="array" ref="B51">get_stock_prices(D10,$E$3)</f>
        <v>OSError(22, 'Invalid argument')</v>
      </c>
      <c r="F51" s="10"/>
    </row>
    <row r="52" spans="2:6" x14ac:dyDescent="0.25">
      <c r="B52" t="str" cm="1">
        <f t="array" ref="B52">get_stock_prices(D11,$E$3)</f>
        <v>OSError(22, 'Invalid argument')</v>
      </c>
      <c r="F52" s="10"/>
    </row>
    <row r="53" spans="2:6" x14ac:dyDescent="0.25">
      <c r="B53" t="str" cm="1">
        <f t="array" ref="B53">get_stock_prices(D12,$E$3)</f>
        <v>OSError(22, 'Invalid argument')</v>
      </c>
      <c r="F53" s="10"/>
    </row>
    <row r="54" spans="2:6" x14ac:dyDescent="0.25">
      <c r="B54" t="str" cm="1">
        <f t="array" ref="B54">get_stock_prices(D13,$E$3)</f>
        <v>OSError(22, 'Invalid argument')</v>
      </c>
      <c r="F54" s="10"/>
    </row>
    <row r="55" spans="2:6" x14ac:dyDescent="0.25">
      <c r="B55" t="str" cm="1">
        <f t="array" ref="B55">get_stock_prices(D14,$E$3)</f>
        <v>OSError(22, 'Invalid argument')</v>
      </c>
      <c r="F55" s="10"/>
    </row>
    <row r="56" spans="2:6" x14ac:dyDescent="0.25">
      <c r="B56" t="str" cm="1">
        <f t="array" ref="B56">get_stock_prices(D15,$E$3)</f>
        <v>OSError(22, 'Invalid argument')</v>
      </c>
      <c r="F56" s="10"/>
    </row>
    <row r="57" spans="2:6" x14ac:dyDescent="0.25">
      <c r="B57" t="str" cm="1">
        <f t="array" ref="B57">get_stock_prices(D16,$E$3)</f>
        <v>OSError(22, 'Invalid argument')</v>
      </c>
      <c r="F57" s="10"/>
    </row>
    <row r="58" spans="2:6" x14ac:dyDescent="0.25">
      <c r="B58" t="str" cm="1">
        <f t="array" ref="B58">get_stock_prices(D17,$E$3)</f>
        <v>OSError(22, 'Invalid argument')</v>
      </c>
      <c r="F58" s="10"/>
    </row>
    <row r="59" spans="2:6" x14ac:dyDescent="0.25">
      <c r="B59" t="str" cm="1">
        <f t="array" ref="B59">get_stock_prices(D18,$E$3)</f>
        <v>OSError(22, 'Invalid argument')</v>
      </c>
      <c r="F59" s="10"/>
    </row>
    <row r="60" spans="2:6" x14ac:dyDescent="0.25">
      <c r="B60" t="str" cm="1">
        <f t="array" ref="B60">get_stock_prices(D19,$E$3)</f>
        <v>OSError(22, 'Invalid argument')</v>
      </c>
      <c r="F60" s="10"/>
    </row>
    <row r="61" spans="2:6" x14ac:dyDescent="0.25">
      <c r="B61" t="str" cm="1">
        <f t="array" ref="B61">get_stock_prices(D20,$E$3)</f>
        <v>OSError(22, 'Invalid argument')</v>
      </c>
      <c r="F61" s="10"/>
    </row>
    <row r="62" spans="2:6" x14ac:dyDescent="0.25">
      <c r="B62" t="str" cm="1">
        <f t="array" ref="B62">get_stock_prices(D21,$E$3)</f>
        <v>OSError(22, 'Invalid argument')</v>
      </c>
      <c r="F62" s="10"/>
    </row>
    <row r="63" spans="2:6" x14ac:dyDescent="0.25">
      <c r="B63" t="str" cm="1">
        <f t="array" ref="B63">get_stock_prices(D22,$E$3)</f>
        <v>OSError(22, 'Invalid argument')</v>
      </c>
      <c r="F63" s="10"/>
    </row>
    <row r="64" spans="2:6" x14ac:dyDescent="0.25">
      <c r="B64" t="str" cm="1">
        <f t="array" ref="B64">get_stock_prices(D23,$E$3)</f>
        <v>OSError(22, 'Invalid argument')</v>
      </c>
      <c r="F64" s="10"/>
    </row>
    <row r="65" spans="2:14" x14ac:dyDescent="0.25">
      <c r="B65" t="str" cm="1">
        <f t="array" ref="B65">get_stock_prices(D24,$E$3)</f>
        <v>OSError(22, 'Invalid argument')</v>
      </c>
      <c r="F65" s="10"/>
    </row>
    <row r="66" spans="2:14" x14ac:dyDescent="0.25">
      <c r="B66" t="str" cm="1">
        <f t="array" ref="B66">get_stock_prices(D25,$E$3)</f>
        <v>OSError(22, 'Invalid argument')</v>
      </c>
      <c r="F66" s="10"/>
    </row>
    <row r="67" spans="2:14" x14ac:dyDescent="0.25">
      <c r="F67" s="10"/>
    </row>
    <row r="68" spans="2:14" x14ac:dyDescent="0.25">
      <c r="F68" s="10"/>
    </row>
    <row r="69" spans="2:14" x14ac:dyDescent="0.25">
      <c r="F69" s="10"/>
      <c r="N69" t="s">
        <v>49</v>
      </c>
    </row>
    <row r="70" spans="2:14" x14ac:dyDescent="0.25">
      <c r="F70" s="10"/>
    </row>
    <row r="71" spans="2:14" x14ac:dyDescent="0.25">
      <c r="F71" s="10"/>
    </row>
    <row r="72" spans="2:14" x14ac:dyDescent="0.25">
      <c r="F72" s="10"/>
    </row>
    <row r="73" spans="2:14" x14ac:dyDescent="0.25">
      <c r="F73" s="10"/>
    </row>
    <row r="74" spans="2:14" x14ac:dyDescent="0.25">
      <c r="F74" s="10"/>
    </row>
    <row r="75" spans="2:14" x14ac:dyDescent="0.25">
      <c r="F75" s="10"/>
    </row>
    <row r="76" spans="2:14" x14ac:dyDescent="0.25">
      <c r="F76" s="10"/>
    </row>
    <row r="77" spans="2:14" x14ac:dyDescent="0.25">
      <c r="F77" s="10"/>
    </row>
    <row r="78" spans="2:14" x14ac:dyDescent="0.25">
      <c r="F78" s="10"/>
    </row>
    <row r="79" spans="2:14" x14ac:dyDescent="0.25">
      <c r="F79" s="10"/>
      <c r="N79" t="s">
        <v>50</v>
      </c>
    </row>
    <row r="80" spans="2:14" x14ac:dyDescent="0.25">
      <c r="F80" s="10"/>
    </row>
    <row r="81" spans="6:14" x14ac:dyDescent="0.25">
      <c r="F81" s="10"/>
    </row>
    <row r="82" spans="6:14" x14ac:dyDescent="0.25">
      <c r="F82" s="10"/>
    </row>
    <row r="83" spans="6:14" x14ac:dyDescent="0.25">
      <c r="F83" s="10"/>
    </row>
    <row r="84" spans="6:14" x14ac:dyDescent="0.25">
      <c r="F84" s="10"/>
    </row>
    <row r="85" spans="6:14" x14ac:dyDescent="0.25">
      <c r="F85" s="10"/>
    </row>
    <row r="86" spans="6:14" x14ac:dyDescent="0.25">
      <c r="F86" s="10"/>
    </row>
    <row r="87" spans="6:14" x14ac:dyDescent="0.25">
      <c r="F87" s="10"/>
    </row>
    <row r="88" spans="6:14" x14ac:dyDescent="0.25">
      <c r="F88" s="10"/>
      <c r="N88" t="s">
        <v>51</v>
      </c>
    </row>
    <row r="89" spans="6:14" x14ac:dyDescent="0.25">
      <c r="F89" s="10"/>
    </row>
    <row r="90" spans="6:14" x14ac:dyDescent="0.25">
      <c r="F90" s="10"/>
    </row>
    <row r="91" spans="6:14" x14ac:dyDescent="0.25">
      <c r="F91" s="10"/>
    </row>
    <row r="92" spans="6:14" x14ac:dyDescent="0.25">
      <c r="F92" s="10"/>
    </row>
    <row r="93" spans="6:14" x14ac:dyDescent="0.25">
      <c r="F93" s="10"/>
    </row>
    <row r="94" spans="6:14" x14ac:dyDescent="0.25">
      <c r="F94" s="10"/>
    </row>
    <row r="95" spans="6:14" x14ac:dyDescent="0.25">
      <c r="F95" s="10"/>
    </row>
    <row r="96" spans="6:14" x14ac:dyDescent="0.25">
      <c r="F96" s="10"/>
    </row>
    <row r="97" spans="6:6" x14ac:dyDescent="0.25">
      <c r="F97" s="10"/>
    </row>
    <row r="98" spans="6:6" x14ac:dyDescent="0.25">
      <c r="F98" s="10"/>
    </row>
    <row r="99" spans="6:6" x14ac:dyDescent="0.25">
      <c r="F99" s="10"/>
    </row>
    <row r="100" spans="6:6" x14ac:dyDescent="0.25">
      <c r="F100" s="10"/>
    </row>
    <row r="101" spans="6:6" x14ac:dyDescent="0.25">
      <c r="F101" s="10"/>
    </row>
    <row r="102" spans="6:6" x14ac:dyDescent="0.25">
      <c r="F102" s="10"/>
    </row>
    <row r="103" spans="6:6" x14ac:dyDescent="0.25">
      <c r="F103" s="10"/>
    </row>
    <row r="104" spans="6:6" x14ac:dyDescent="0.25">
      <c r="F104" s="10"/>
    </row>
    <row r="105" spans="6:6" x14ac:dyDescent="0.25">
      <c r="F105" s="10"/>
    </row>
    <row r="106" spans="6:6" x14ac:dyDescent="0.25">
      <c r="F106" s="10"/>
    </row>
    <row r="107" spans="6:6" x14ac:dyDescent="0.25">
      <c r="F107" s="10"/>
    </row>
    <row r="108" spans="6:6" x14ac:dyDescent="0.25">
      <c r="F108" s="10"/>
    </row>
    <row r="109" spans="6:6" x14ac:dyDescent="0.25">
      <c r="F109" s="10"/>
    </row>
    <row r="110" spans="6:6" x14ac:dyDescent="0.25">
      <c r="F110" s="10"/>
    </row>
    <row r="111" spans="6:6" x14ac:dyDescent="0.25">
      <c r="F111" s="10"/>
    </row>
    <row r="112" spans="6:6" x14ac:dyDescent="0.25">
      <c r="F112" s="10"/>
    </row>
    <row r="113" spans="6:6" x14ac:dyDescent="0.25">
      <c r="F113" s="10"/>
    </row>
    <row r="114" spans="6:6" x14ac:dyDescent="0.25">
      <c r="F114" s="10"/>
    </row>
    <row r="115" spans="6:6" x14ac:dyDescent="0.25">
      <c r="F115" s="10"/>
    </row>
    <row r="116" spans="6:6" x14ac:dyDescent="0.25">
      <c r="F116" s="10"/>
    </row>
    <row r="117" spans="6:6" x14ac:dyDescent="0.25">
      <c r="F117" s="10"/>
    </row>
    <row r="118" spans="6:6" x14ac:dyDescent="0.25">
      <c r="F118" s="10"/>
    </row>
    <row r="119" spans="6:6" x14ac:dyDescent="0.25">
      <c r="F119" s="10"/>
    </row>
    <row r="120" spans="6:6" x14ac:dyDescent="0.25">
      <c r="F120" s="10"/>
    </row>
    <row r="121" spans="6:6" x14ac:dyDescent="0.25">
      <c r="F121" s="10"/>
    </row>
    <row r="122" spans="6:6" x14ac:dyDescent="0.25">
      <c r="F122" s="10"/>
    </row>
    <row r="123" spans="6:6" x14ac:dyDescent="0.25">
      <c r="F123" s="10"/>
    </row>
    <row r="124" spans="6:6" x14ac:dyDescent="0.25">
      <c r="F124" s="10"/>
    </row>
    <row r="125" spans="6:6" x14ac:dyDescent="0.25">
      <c r="F125" s="10"/>
    </row>
    <row r="126" spans="6:6" x14ac:dyDescent="0.25">
      <c r="F126" s="10"/>
    </row>
    <row r="127" spans="6:6" x14ac:dyDescent="0.25">
      <c r="F127" s="10"/>
    </row>
    <row r="128" spans="6:6" x14ac:dyDescent="0.25">
      <c r="F128" s="10"/>
    </row>
    <row r="129" spans="6:6" x14ac:dyDescent="0.25">
      <c r="F129" s="10"/>
    </row>
    <row r="130" spans="6:6" x14ac:dyDescent="0.25">
      <c r="F130" s="10"/>
    </row>
    <row r="131" spans="6:6" x14ac:dyDescent="0.25">
      <c r="F131" s="10"/>
    </row>
    <row r="132" spans="6:6" x14ac:dyDescent="0.25">
      <c r="F132" s="10"/>
    </row>
    <row r="133" spans="6:6" x14ac:dyDescent="0.25">
      <c r="F133" s="10"/>
    </row>
    <row r="134" spans="6:6" x14ac:dyDescent="0.25">
      <c r="F134" s="10"/>
    </row>
    <row r="135" spans="6:6" x14ac:dyDescent="0.25">
      <c r="F135" s="10"/>
    </row>
    <row r="136" spans="6:6" x14ac:dyDescent="0.25">
      <c r="F136" s="10"/>
    </row>
    <row r="137" spans="6:6" x14ac:dyDescent="0.25">
      <c r="F137" s="10"/>
    </row>
    <row r="138" spans="6:6" x14ac:dyDescent="0.25">
      <c r="F138" s="10"/>
    </row>
    <row r="139" spans="6:6" x14ac:dyDescent="0.25">
      <c r="F139" s="10"/>
    </row>
    <row r="140" spans="6:6" x14ac:dyDescent="0.25">
      <c r="F140" s="10"/>
    </row>
    <row r="141" spans="6:6" x14ac:dyDescent="0.25">
      <c r="F141" s="10"/>
    </row>
    <row r="142" spans="6:6" x14ac:dyDescent="0.25">
      <c r="F142" s="10"/>
    </row>
    <row r="143" spans="6:6" x14ac:dyDescent="0.25">
      <c r="F143" s="10"/>
    </row>
    <row r="144" spans="6:6" x14ac:dyDescent="0.25">
      <c r="F144" s="10"/>
    </row>
    <row r="145" spans="6:6" x14ac:dyDescent="0.25">
      <c r="F145" s="10"/>
    </row>
    <row r="146" spans="6:6" x14ac:dyDescent="0.25">
      <c r="F146" s="10"/>
    </row>
    <row r="147" spans="6:6" x14ac:dyDescent="0.25">
      <c r="F147" s="10"/>
    </row>
    <row r="148" spans="6:6" x14ac:dyDescent="0.25">
      <c r="F148" s="10"/>
    </row>
    <row r="149" spans="6:6" x14ac:dyDescent="0.25">
      <c r="F149" s="10"/>
    </row>
    <row r="150" spans="6:6" x14ac:dyDescent="0.25">
      <c r="F150" s="10"/>
    </row>
    <row r="151" spans="6:6" x14ac:dyDescent="0.25">
      <c r="F151" s="10"/>
    </row>
    <row r="152" spans="6:6" x14ac:dyDescent="0.25">
      <c r="F152" s="10"/>
    </row>
    <row r="153" spans="6:6" x14ac:dyDescent="0.25">
      <c r="F153" s="10"/>
    </row>
    <row r="154" spans="6:6" x14ac:dyDescent="0.25">
      <c r="F154" s="10"/>
    </row>
    <row r="155" spans="6:6" x14ac:dyDescent="0.25">
      <c r="F155" s="10"/>
    </row>
    <row r="156" spans="6:6" x14ac:dyDescent="0.25">
      <c r="F156" s="10"/>
    </row>
    <row r="157" spans="6:6" x14ac:dyDescent="0.25">
      <c r="F157" s="10"/>
    </row>
    <row r="158" spans="6:6" x14ac:dyDescent="0.25">
      <c r="F158" s="10"/>
    </row>
    <row r="159" spans="6:6" x14ac:dyDescent="0.25">
      <c r="F159" s="10"/>
    </row>
    <row r="160" spans="6:6" x14ac:dyDescent="0.25">
      <c r="F160" s="10"/>
    </row>
    <row r="161" spans="6:6" x14ac:dyDescent="0.25">
      <c r="F161" s="10"/>
    </row>
    <row r="162" spans="6:6" x14ac:dyDescent="0.25">
      <c r="F162" s="10"/>
    </row>
    <row r="163" spans="6:6" x14ac:dyDescent="0.25">
      <c r="F163" s="10"/>
    </row>
    <row r="164" spans="6:6" x14ac:dyDescent="0.25">
      <c r="F164" s="10"/>
    </row>
    <row r="165" spans="6:6" x14ac:dyDescent="0.25">
      <c r="F165" s="10"/>
    </row>
    <row r="166" spans="6:6" x14ac:dyDescent="0.25">
      <c r="F166" s="10"/>
    </row>
    <row r="167" spans="6:6" x14ac:dyDescent="0.25">
      <c r="F167" s="10"/>
    </row>
    <row r="168" spans="6:6" x14ac:dyDescent="0.25">
      <c r="F168" s="10"/>
    </row>
    <row r="169" spans="6:6" x14ac:dyDescent="0.25">
      <c r="F169" s="10"/>
    </row>
    <row r="170" spans="6:6" x14ac:dyDescent="0.25">
      <c r="F170" s="10"/>
    </row>
    <row r="171" spans="6:6" x14ac:dyDescent="0.25">
      <c r="F171" s="10"/>
    </row>
    <row r="172" spans="6:6" x14ac:dyDescent="0.25">
      <c r="F172" s="10"/>
    </row>
    <row r="173" spans="6:6" x14ac:dyDescent="0.25">
      <c r="F173" s="10"/>
    </row>
    <row r="174" spans="6:6" x14ac:dyDescent="0.25">
      <c r="F174" s="10"/>
    </row>
    <row r="175" spans="6:6" x14ac:dyDescent="0.25">
      <c r="F175" s="10"/>
    </row>
    <row r="176" spans="6:6" x14ac:dyDescent="0.25">
      <c r="F176" s="10"/>
    </row>
    <row r="177" spans="6:6" x14ac:dyDescent="0.25">
      <c r="F177" s="10"/>
    </row>
    <row r="178" spans="6:6" x14ac:dyDescent="0.25">
      <c r="F178" s="10"/>
    </row>
    <row r="179" spans="6:6" x14ac:dyDescent="0.25">
      <c r="F179" s="10"/>
    </row>
    <row r="180" spans="6:6" x14ac:dyDescent="0.25">
      <c r="F180" s="10"/>
    </row>
    <row r="181" spans="6:6" x14ac:dyDescent="0.25">
      <c r="F181" s="10"/>
    </row>
    <row r="182" spans="6:6" x14ac:dyDescent="0.25">
      <c r="F182" s="10"/>
    </row>
    <row r="183" spans="6:6" x14ac:dyDescent="0.25">
      <c r="F183" s="10"/>
    </row>
    <row r="184" spans="6:6" x14ac:dyDescent="0.25">
      <c r="F184" s="10"/>
    </row>
    <row r="185" spans="6:6" x14ac:dyDescent="0.25">
      <c r="F185" s="10"/>
    </row>
    <row r="186" spans="6:6" x14ac:dyDescent="0.25">
      <c r="F186" s="10"/>
    </row>
    <row r="187" spans="6:6" x14ac:dyDescent="0.25">
      <c r="F187" s="10"/>
    </row>
    <row r="188" spans="6:6" x14ac:dyDescent="0.25">
      <c r="F188" s="10"/>
    </row>
    <row r="189" spans="6:6" x14ac:dyDescent="0.25">
      <c r="F189" s="10"/>
    </row>
    <row r="190" spans="6:6" x14ac:dyDescent="0.25">
      <c r="F190" s="10"/>
    </row>
    <row r="191" spans="6:6" x14ac:dyDescent="0.25">
      <c r="F191" s="10"/>
    </row>
    <row r="192" spans="6:6" x14ac:dyDescent="0.25">
      <c r="F192" s="10"/>
    </row>
    <row r="193" spans="6:6" x14ac:dyDescent="0.25">
      <c r="F193" s="10"/>
    </row>
    <row r="194" spans="6:6" x14ac:dyDescent="0.25">
      <c r="F194" s="10"/>
    </row>
    <row r="195" spans="6:6" x14ac:dyDescent="0.25">
      <c r="F195" s="10"/>
    </row>
    <row r="196" spans="6:6" x14ac:dyDescent="0.25">
      <c r="F196" s="10"/>
    </row>
    <row r="197" spans="6:6" x14ac:dyDescent="0.25">
      <c r="F197" s="10"/>
    </row>
    <row r="198" spans="6:6" x14ac:dyDescent="0.25">
      <c r="F198" s="10"/>
    </row>
    <row r="199" spans="6:6" x14ac:dyDescent="0.25">
      <c r="F199" s="10"/>
    </row>
    <row r="200" spans="6:6" x14ac:dyDescent="0.25">
      <c r="F200" s="10"/>
    </row>
    <row r="201" spans="6:6" x14ac:dyDescent="0.25">
      <c r="F201" s="10"/>
    </row>
    <row r="202" spans="6:6" x14ac:dyDescent="0.25">
      <c r="F202" s="10"/>
    </row>
    <row r="203" spans="6:6" x14ac:dyDescent="0.25">
      <c r="F203" s="10"/>
    </row>
    <row r="204" spans="6:6" x14ac:dyDescent="0.25">
      <c r="F204" s="10"/>
    </row>
    <row r="205" spans="6:6" x14ac:dyDescent="0.25">
      <c r="F205" s="10"/>
    </row>
    <row r="206" spans="6:6" x14ac:dyDescent="0.25">
      <c r="F206" s="10"/>
    </row>
    <row r="207" spans="6:6" x14ac:dyDescent="0.25">
      <c r="F207" s="10"/>
    </row>
    <row r="208" spans="6:6" x14ac:dyDescent="0.25">
      <c r="F208" s="10"/>
    </row>
    <row r="209" spans="6:6" x14ac:dyDescent="0.25">
      <c r="F209" s="10"/>
    </row>
    <row r="210" spans="6:6" x14ac:dyDescent="0.25">
      <c r="F210" s="10"/>
    </row>
    <row r="211" spans="6:6" x14ac:dyDescent="0.25">
      <c r="F211" s="10"/>
    </row>
    <row r="212" spans="6:6" x14ac:dyDescent="0.25">
      <c r="F212" s="10"/>
    </row>
    <row r="213" spans="6:6" x14ac:dyDescent="0.25">
      <c r="F213" s="10"/>
    </row>
    <row r="214" spans="6:6" x14ac:dyDescent="0.25">
      <c r="F214" s="10"/>
    </row>
    <row r="215" spans="6:6" x14ac:dyDescent="0.25">
      <c r="F215" s="10"/>
    </row>
    <row r="216" spans="6:6" x14ac:dyDescent="0.25">
      <c r="F216" s="10"/>
    </row>
    <row r="217" spans="6:6" x14ac:dyDescent="0.25">
      <c r="F217" s="10"/>
    </row>
    <row r="218" spans="6:6" x14ac:dyDescent="0.25">
      <c r="F218" s="10"/>
    </row>
    <row r="219" spans="6:6" x14ac:dyDescent="0.25">
      <c r="F219" s="10"/>
    </row>
    <row r="220" spans="6:6" x14ac:dyDescent="0.25">
      <c r="F220" s="10"/>
    </row>
    <row r="221" spans="6:6" x14ac:dyDescent="0.25">
      <c r="F221" s="10"/>
    </row>
    <row r="222" spans="6:6" x14ac:dyDescent="0.25">
      <c r="F222" s="10"/>
    </row>
    <row r="223" spans="6:6" x14ac:dyDescent="0.25">
      <c r="F223" s="10"/>
    </row>
    <row r="224" spans="6:6" x14ac:dyDescent="0.25">
      <c r="F224" s="10"/>
    </row>
    <row r="225" spans="6:6" x14ac:dyDescent="0.25">
      <c r="F225" s="10"/>
    </row>
    <row r="226" spans="6:6" x14ac:dyDescent="0.25">
      <c r="F226" s="10"/>
    </row>
    <row r="227" spans="6:6" x14ac:dyDescent="0.25">
      <c r="F227" s="10"/>
    </row>
    <row r="228" spans="6:6" x14ac:dyDescent="0.25">
      <c r="F228" s="10"/>
    </row>
    <row r="229" spans="6:6" x14ac:dyDescent="0.25">
      <c r="F229" s="10"/>
    </row>
    <row r="230" spans="6:6" x14ac:dyDescent="0.25">
      <c r="F230" s="10"/>
    </row>
    <row r="231" spans="6:6" x14ac:dyDescent="0.25">
      <c r="F231" s="10"/>
    </row>
    <row r="232" spans="6:6" x14ac:dyDescent="0.25">
      <c r="F232" s="10"/>
    </row>
    <row r="233" spans="6:6" x14ac:dyDescent="0.25">
      <c r="F233" s="10"/>
    </row>
    <row r="234" spans="6:6" x14ac:dyDescent="0.25">
      <c r="F234" s="10"/>
    </row>
    <row r="235" spans="6:6" x14ac:dyDescent="0.25">
      <c r="F235" s="10"/>
    </row>
    <row r="236" spans="6:6" x14ac:dyDescent="0.25">
      <c r="F236" s="10"/>
    </row>
    <row r="237" spans="6:6" x14ac:dyDescent="0.25">
      <c r="F237" s="10"/>
    </row>
    <row r="238" spans="6:6" x14ac:dyDescent="0.25">
      <c r="F238" s="10"/>
    </row>
    <row r="239" spans="6:6" x14ac:dyDescent="0.25">
      <c r="F239" s="10"/>
    </row>
    <row r="240" spans="6:6" x14ac:dyDescent="0.25">
      <c r="F240" s="10"/>
    </row>
    <row r="241" spans="6:6" x14ac:dyDescent="0.25">
      <c r="F241" s="10"/>
    </row>
    <row r="242" spans="6:6" x14ac:dyDescent="0.25">
      <c r="F242" s="10"/>
    </row>
    <row r="243" spans="6:6" x14ac:dyDescent="0.25">
      <c r="F243" s="10"/>
    </row>
    <row r="244" spans="6:6" x14ac:dyDescent="0.25">
      <c r="F244" s="10"/>
    </row>
    <row r="245" spans="6:6" x14ac:dyDescent="0.25">
      <c r="F245" s="10"/>
    </row>
    <row r="246" spans="6:6" x14ac:dyDescent="0.25">
      <c r="F246" s="10"/>
    </row>
    <row r="247" spans="6:6" x14ac:dyDescent="0.25">
      <c r="F247" s="10"/>
    </row>
    <row r="248" spans="6:6" x14ac:dyDescent="0.25">
      <c r="F248" s="10"/>
    </row>
    <row r="249" spans="6:6" x14ac:dyDescent="0.25">
      <c r="F249" s="10"/>
    </row>
    <row r="250" spans="6:6" x14ac:dyDescent="0.25">
      <c r="F250" s="10"/>
    </row>
    <row r="251" spans="6:6" x14ac:dyDescent="0.25">
      <c r="F251" s="10"/>
    </row>
    <row r="252" spans="6:6" x14ac:dyDescent="0.25">
      <c r="F252" s="10"/>
    </row>
    <row r="253" spans="6:6" x14ac:dyDescent="0.25">
      <c r="F253" s="10"/>
    </row>
    <row r="254" spans="6:6" x14ac:dyDescent="0.25">
      <c r="F254" s="10"/>
    </row>
    <row r="255" spans="6:6" x14ac:dyDescent="0.25">
      <c r="F255" s="10"/>
    </row>
    <row r="256" spans="6:6" x14ac:dyDescent="0.25">
      <c r="F256" s="10"/>
    </row>
    <row r="257" spans="6:6" x14ac:dyDescent="0.25">
      <c r="F257" s="10"/>
    </row>
    <row r="258" spans="6:6" x14ac:dyDescent="0.25">
      <c r="F258" s="10"/>
    </row>
    <row r="259" spans="6:6" x14ac:dyDescent="0.25">
      <c r="F259" s="10"/>
    </row>
    <row r="260" spans="6:6" x14ac:dyDescent="0.25">
      <c r="F260" s="10"/>
    </row>
    <row r="261" spans="6:6" x14ac:dyDescent="0.25">
      <c r="F261" s="10"/>
    </row>
    <row r="262" spans="6:6" x14ac:dyDescent="0.25">
      <c r="F262" s="10"/>
    </row>
    <row r="263" spans="6:6" x14ac:dyDescent="0.25">
      <c r="F263" s="10"/>
    </row>
    <row r="264" spans="6:6" x14ac:dyDescent="0.25">
      <c r="F264" s="10"/>
    </row>
    <row r="265" spans="6:6" x14ac:dyDescent="0.25">
      <c r="F265" s="10"/>
    </row>
    <row r="266" spans="6:6" x14ac:dyDescent="0.25">
      <c r="F266" s="10"/>
    </row>
    <row r="267" spans="6:6" x14ac:dyDescent="0.25">
      <c r="F267" s="10"/>
    </row>
    <row r="268" spans="6:6" x14ac:dyDescent="0.25">
      <c r="F268" s="10"/>
    </row>
    <row r="269" spans="6:6" x14ac:dyDescent="0.25">
      <c r="F269" s="10"/>
    </row>
    <row r="270" spans="6:6" x14ac:dyDescent="0.25">
      <c r="F270" s="10"/>
    </row>
    <row r="271" spans="6:6" x14ac:dyDescent="0.25">
      <c r="F271" s="10"/>
    </row>
    <row r="272" spans="6:6" x14ac:dyDescent="0.25">
      <c r="F272" s="10"/>
    </row>
    <row r="273" spans="6:6" x14ac:dyDescent="0.25">
      <c r="F273" s="10"/>
    </row>
    <row r="274" spans="6:6" x14ac:dyDescent="0.25">
      <c r="F274" s="10"/>
    </row>
    <row r="275" spans="6:6" x14ac:dyDescent="0.25">
      <c r="F275" s="10"/>
    </row>
    <row r="276" spans="6:6" x14ac:dyDescent="0.25">
      <c r="F276" s="10"/>
    </row>
    <row r="277" spans="6:6" x14ac:dyDescent="0.25">
      <c r="F277" s="10"/>
    </row>
    <row r="278" spans="6:6" x14ac:dyDescent="0.25">
      <c r="F278" s="10"/>
    </row>
    <row r="279" spans="6:6" x14ac:dyDescent="0.25">
      <c r="F279" s="10"/>
    </row>
    <row r="280" spans="6:6" x14ac:dyDescent="0.25">
      <c r="F280" s="10"/>
    </row>
    <row r="281" spans="6:6" x14ac:dyDescent="0.25">
      <c r="F281" s="10"/>
    </row>
    <row r="282" spans="6:6" x14ac:dyDescent="0.25">
      <c r="F282" s="10"/>
    </row>
    <row r="283" spans="6:6" x14ac:dyDescent="0.25">
      <c r="F283" s="10"/>
    </row>
    <row r="284" spans="6:6" x14ac:dyDescent="0.25">
      <c r="F284" s="10"/>
    </row>
    <row r="285" spans="6:6" x14ac:dyDescent="0.25">
      <c r="F285" s="10"/>
    </row>
    <row r="286" spans="6:6" x14ac:dyDescent="0.25">
      <c r="F286" s="10"/>
    </row>
    <row r="287" spans="6:6" x14ac:dyDescent="0.25">
      <c r="F287" s="10"/>
    </row>
    <row r="288" spans="6:6" x14ac:dyDescent="0.25">
      <c r="F288" s="10"/>
    </row>
    <row r="289" spans="6:6" x14ac:dyDescent="0.25">
      <c r="F289" s="10"/>
    </row>
    <row r="290" spans="6:6" x14ac:dyDescent="0.25">
      <c r="F290" s="10"/>
    </row>
    <row r="291" spans="6:6" x14ac:dyDescent="0.25">
      <c r="F291" s="10"/>
    </row>
    <row r="292" spans="6:6" x14ac:dyDescent="0.25">
      <c r="F292" s="10"/>
    </row>
    <row r="293" spans="6:6" x14ac:dyDescent="0.25">
      <c r="F293" s="10"/>
    </row>
    <row r="294" spans="6:6" x14ac:dyDescent="0.25">
      <c r="F294" s="10"/>
    </row>
    <row r="295" spans="6:6" x14ac:dyDescent="0.25">
      <c r="F295" s="10"/>
    </row>
    <row r="296" spans="6:6" x14ac:dyDescent="0.25">
      <c r="F296" s="10"/>
    </row>
    <row r="297" spans="6:6" x14ac:dyDescent="0.25">
      <c r="F297" s="10"/>
    </row>
    <row r="298" spans="6:6" x14ac:dyDescent="0.25">
      <c r="F298" s="10"/>
    </row>
    <row r="299" spans="6:6" x14ac:dyDescent="0.25">
      <c r="F299" s="10"/>
    </row>
    <row r="300" spans="6:6" x14ac:dyDescent="0.25">
      <c r="F300" s="10"/>
    </row>
    <row r="301" spans="6:6" x14ac:dyDescent="0.25">
      <c r="F301" s="10"/>
    </row>
    <row r="302" spans="6:6" x14ac:dyDescent="0.25">
      <c r="F302" s="10"/>
    </row>
    <row r="303" spans="6:6" x14ac:dyDescent="0.25">
      <c r="F303" s="10"/>
    </row>
    <row r="304" spans="6:6" x14ac:dyDescent="0.25">
      <c r="F304" s="10"/>
    </row>
    <row r="305" spans="6:6" x14ac:dyDescent="0.25">
      <c r="F305" s="10"/>
    </row>
    <row r="306" spans="6:6" x14ac:dyDescent="0.25">
      <c r="F306" s="10"/>
    </row>
    <row r="307" spans="6:6" x14ac:dyDescent="0.25">
      <c r="F307" s="10"/>
    </row>
    <row r="308" spans="6:6" x14ac:dyDescent="0.25">
      <c r="F308" s="10"/>
    </row>
    <row r="309" spans="6:6" x14ac:dyDescent="0.25">
      <c r="F309" s="10"/>
    </row>
    <row r="310" spans="6:6" x14ac:dyDescent="0.25">
      <c r="F310" s="10"/>
    </row>
    <row r="311" spans="6:6" x14ac:dyDescent="0.25">
      <c r="F311" s="10"/>
    </row>
    <row r="312" spans="6:6" x14ac:dyDescent="0.25">
      <c r="F312" s="10"/>
    </row>
    <row r="313" spans="6:6" x14ac:dyDescent="0.25">
      <c r="F313" s="10"/>
    </row>
    <row r="314" spans="6:6" x14ac:dyDescent="0.25">
      <c r="F314" s="10"/>
    </row>
    <row r="315" spans="6:6" x14ac:dyDescent="0.25">
      <c r="F315" s="10"/>
    </row>
    <row r="316" spans="6:6" x14ac:dyDescent="0.25">
      <c r="F316" s="10"/>
    </row>
    <row r="317" spans="6:6" x14ac:dyDescent="0.25">
      <c r="F317" s="10"/>
    </row>
    <row r="318" spans="6:6" x14ac:dyDescent="0.25">
      <c r="F318" s="10"/>
    </row>
    <row r="319" spans="6:6" x14ac:dyDescent="0.25">
      <c r="F319" s="10"/>
    </row>
    <row r="320" spans="6:6" x14ac:dyDescent="0.25">
      <c r="F320" s="10"/>
    </row>
    <row r="321" spans="6:6" x14ac:dyDescent="0.25">
      <c r="F321" s="10"/>
    </row>
    <row r="322" spans="6:6" x14ac:dyDescent="0.25">
      <c r="F322" s="10"/>
    </row>
    <row r="323" spans="6:6" x14ac:dyDescent="0.25">
      <c r="F323" s="10"/>
    </row>
    <row r="324" spans="6:6" x14ac:dyDescent="0.25">
      <c r="F324" s="10"/>
    </row>
    <row r="325" spans="6:6" x14ac:dyDescent="0.25">
      <c r="F325" s="10"/>
    </row>
    <row r="326" spans="6:6" x14ac:dyDescent="0.25">
      <c r="F326" s="10"/>
    </row>
    <row r="327" spans="6:6" x14ac:dyDescent="0.25">
      <c r="F327" s="10"/>
    </row>
    <row r="328" spans="6:6" x14ac:dyDescent="0.25">
      <c r="F328" s="10"/>
    </row>
    <row r="329" spans="6:6" x14ac:dyDescent="0.25">
      <c r="F329" s="10"/>
    </row>
    <row r="330" spans="6:6" x14ac:dyDescent="0.25">
      <c r="F330" s="10"/>
    </row>
    <row r="331" spans="6:6" x14ac:dyDescent="0.25">
      <c r="F331" s="10"/>
    </row>
    <row r="332" spans="6:6" x14ac:dyDescent="0.25">
      <c r="F332" s="10"/>
    </row>
    <row r="333" spans="6:6" x14ac:dyDescent="0.25">
      <c r="F333" s="10"/>
    </row>
    <row r="334" spans="6:6" x14ac:dyDescent="0.25">
      <c r="F334" s="10"/>
    </row>
    <row r="335" spans="6:6" x14ac:dyDescent="0.25">
      <c r="F335" s="10"/>
    </row>
    <row r="336" spans="6:6" x14ac:dyDescent="0.25">
      <c r="F336" s="10"/>
    </row>
    <row r="337" spans="6:6" x14ac:dyDescent="0.25">
      <c r="F337" s="10"/>
    </row>
    <row r="338" spans="6:6" x14ac:dyDescent="0.25">
      <c r="F338" s="10"/>
    </row>
    <row r="339" spans="6:6" x14ac:dyDescent="0.25">
      <c r="F339" s="10"/>
    </row>
    <row r="340" spans="6:6" x14ac:dyDescent="0.25">
      <c r="F340" s="10"/>
    </row>
    <row r="341" spans="6:6" x14ac:dyDescent="0.25">
      <c r="F341" s="10"/>
    </row>
    <row r="342" spans="6:6" x14ac:dyDescent="0.25">
      <c r="F342" s="10"/>
    </row>
    <row r="343" spans="6:6" x14ac:dyDescent="0.25">
      <c r="F343" s="10"/>
    </row>
    <row r="344" spans="6:6" x14ac:dyDescent="0.25">
      <c r="F344" s="10"/>
    </row>
    <row r="345" spans="6:6" x14ac:dyDescent="0.25">
      <c r="F345" s="10"/>
    </row>
    <row r="346" spans="6:6" x14ac:dyDescent="0.25">
      <c r="F346" s="10"/>
    </row>
    <row r="347" spans="6:6" x14ac:dyDescent="0.25">
      <c r="F347" s="10"/>
    </row>
    <row r="348" spans="6:6" x14ac:dyDescent="0.25">
      <c r="F348" s="10"/>
    </row>
    <row r="349" spans="6:6" x14ac:dyDescent="0.25">
      <c r="F349" s="10"/>
    </row>
    <row r="350" spans="6:6" x14ac:dyDescent="0.25">
      <c r="F350" s="10"/>
    </row>
    <row r="351" spans="6:6" x14ac:dyDescent="0.25">
      <c r="F351" s="10"/>
    </row>
    <row r="352" spans="6:6" x14ac:dyDescent="0.25">
      <c r="F352" s="10"/>
    </row>
    <row r="353" spans="6:6" x14ac:dyDescent="0.25">
      <c r="F353" s="10"/>
    </row>
    <row r="354" spans="6:6" x14ac:dyDescent="0.25">
      <c r="F354" s="10"/>
    </row>
    <row r="355" spans="6:6" x14ac:dyDescent="0.25">
      <c r="F355" s="10"/>
    </row>
    <row r="356" spans="6:6" x14ac:dyDescent="0.25">
      <c r="F356" s="10"/>
    </row>
    <row r="357" spans="6:6" x14ac:dyDescent="0.25">
      <c r="F357" s="10"/>
    </row>
    <row r="358" spans="6:6" x14ac:dyDescent="0.25">
      <c r="F358" s="10"/>
    </row>
    <row r="359" spans="6:6" x14ac:dyDescent="0.25">
      <c r="F359" s="10"/>
    </row>
    <row r="360" spans="6:6" x14ac:dyDescent="0.25">
      <c r="F360" s="10"/>
    </row>
    <row r="361" spans="6:6" x14ac:dyDescent="0.25">
      <c r="F361" s="10"/>
    </row>
    <row r="362" spans="6:6" x14ac:dyDescent="0.25">
      <c r="F362" s="10"/>
    </row>
    <row r="363" spans="6:6" x14ac:dyDescent="0.25">
      <c r="F363" s="10"/>
    </row>
    <row r="364" spans="6:6" x14ac:dyDescent="0.25">
      <c r="F364" s="10"/>
    </row>
    <row r="365" spans="6:6" x14ac:dyDescent="0.25">
      <c r="F365" s="10"/>
    </row>
    <row r="366" spans="6:6" x14ac:dyDescent="0.25">
      <c r="F366" s="10"/>
    </row>
    <row r="367" spans="6:6" x14ac:dyDescent="0.25">
      <c r="F367" s="10"/>
    </row>
    <row r="368" spans="6:6" x14ac:dyDescent="0.25">
      <c r="F368" s="10"/>
    </row>
    <row r="369" spans="6:6" x14ac:dyDescent="0.25">
      <c r="F369" s="10"/>
    </row>
    <row r="370" spans="6:6" x14ac:dyDescent="0.25">
      <c r="F370" s="10"/>
    </row>
    <row r="371" spans="6:6" x14ac:dyDescent="0.25">
      <c r="F371" s="10"/>
    </row>
    <row r="372" spans="6:6" x14ac:dyDescent="0.25">
      <c r="F372" s="10"/>
    </row>
    <row r="373" spans="6:6" x14ac:dyDescent="0.25">
      <c r="F373" s="10"/>
    </row>
    <row r="374" spans="6:6" x14ac:dyDescent="0.25">
      <c r="F374" s="10"/>
    </row>
    <row r="375" spans="6:6" x14ac:dyDescent="0.25">
      <c r="F375" s="10"/>
    </row>
    <row r="376" spans="6:6" x14ac:dyDescent="0.25">
      <c r="F376" s="10"/>
    </row>
    <row r="377" spans="6:6" x14ac:dyDescent="0.25">
      <c r="F377" s="10"/>
    </row>
    <row r="378" spans="6:6" x14ac:dyDescent="0.25">
      <c r="F378" s="10"/>
    </row>
    <row r="379" spans="6:6" x14ac:dyDescent="0.25">
      <c r="F379" s="10"/>
    </row>
    <row r="380" spans="6:6" x14ac:dyDescent="0.25">
      <c r="F380" s="10"/>
    </row>
    <row r="381" spans="6:6" x14ac:dyDescent="0.25">
      <c r="F381" s="10"/>
    </row>
    <row r="382" spans="6:6" x14ac:dyDescent="0.25">
      <c r="F382" s="10"/>
    </row>
    <row r="383" spans="6:6" x14ac:dyDescent="0.25">
      <c r="F383" s="10"/>
    </row>
    <row r="384" spans="6:6" x14ac:dyDescent="0.25">
      <c r="F384" s="10"/>
    </row>
    <row r="385" spans="6:6" x14ac:dyDescent="0.25">
      <c r="F385" s="10"/>
    </row>
    <row r="386" spans="6:6" x14ac:dyDescent="0.25">
      <c r="F386" s="10"/>
    </row>
    <row r="387" spans="6:6" x14ac:dyDescent="0.25">
      <c r="F387" s="10"/>
    </row>
    <row r="388" spans="6:6" x14ac:dyDescent="0.25">
      <c r="F388" s="10"/>
    </row>
    <row r="389" spans="6:6" x14ac:dyDescent="0.25">
      <c r="F389" s="10"/>
    </row>
    <row r="390" spans="6:6" x14ac:dyDescent="0.25">
      <c r="F390" s="10"/>
    </row>
    <row r="391" spans="6:6" x14ac:dyDescent="0.25">
      <c r="F391" s="10"/>
    </row>
    <row r="392" spans="6:6" x14ac:dyDescent="0.25">
      <c r="F392" s="10"/>
    </row>
    <row r="393" spans="6:6" x14ac:dyDescent="0.25">
      <c r="F393" s="10"/>
    </row>
    <row r="394" spans="6:6" x14ac:dyDescent="0.25">
      <c r="F394" s="10"/>
    </row>
    <row r="395" spans="6:6" x14ac:dyDescent="0.25">
      <c r="F395" s="10"/>
    </row>
    <row r="396" spans="6:6" x14ac:dyDescent="0.25">
      <c r="F396" s="10"/>
    </row>
    <row r="397" spans="6:6" x14ac:dyDescent="0.25">
      <c r="F397" s="10"/>
    </row>
    <row r="398" spans="6:6" x14ac:dyDescent="0.25">
      <c r="F398" s="10"/>
    </row>
    <row r="399" spans="6:6" x14ac:dyDescent="0.25">
      <c r="F399" s="10"/>
    </row>
    <row r="400" spans="6:6" x14ac:dyDescent="0.25">
      <c r="F400" s="10"/>
    </row>
    <row r="401" spans="6:6" x14ac:dyDescent="0.25">
      <c r="F401" s="10"/>
    </row>
    <row r="402" spans="6:6" x14ac:dyDescent="0.25">
      <c r="F402" s="10"/>
    </row>
    <row r="403" spans="6:6" x14ac:dyDescent="0.25">
      <c r="F403" s="10"/>
    </row>
    <row r="404" spans="6:6" x14ac:dyDescent="0.25">
      <c r="F404" s="10"/>
    </row>
    <row r="405" spans="6:6" x14ac:dyDescent="0.25">
      <c r="F405" s="10"/>
    </row>
    <row r="406" spans="6:6" x14ac:dyDescent="0.25">
      <c r="F406" s="10"/>
    </row>
    <row r="407" spans="6:6" x14ac:dyDescent="0.25">
      <c r="F407" s="10"/>
    </row>
    <row r="408" spans="6:6" x14ac:dyDescent="0.25">
      <c r="F408" s="10"/>
    </row>
    <row r="409" spans="6:6" x14ac:dyDescent="0.25">
      <c r="F409" s="10"/>
    </row>
    <row r="410" spans="6:6" x14ac:dyDescent="0.25">
      <c r="F410" s="10"/>
    </row>
    <row r="411" spans="6:6" x14ac:dyDescent="0.25">
      <c r="F411" s="10"/>
    </row>
    <row r="412" spans="6:6" x14ac:dyDescent="0.25">
      <c r="F412" s="10"/>
    </row>
    <row r="413" spans="6:6" x14ac:dyDescent="0.25">
      <c r="F413" s="10"/>
    </row>
    <row r="414" spans="6:6" x14ac:dyDescent="0.25">
      <c r="F414" s="10"/>
    </row>
    <row r="415" spans="6:6" x14ac:dyDescent="0.25">
      <c r="F415" s="10"/>
    </row>
    <row r="416" spans="6:6" x14ac:dyDescent="0.25">
      <c r="F416" s="10"/>
    </row>
    <row r="417" spans="6:6" x14ac:dyDescent="0.25">
      <c r="F417" s="10"/>
    </row>
    <row r="418" spans="6:6" x14ac:dyDescent="0.25">
      <c r="F418" s="10"/>
    </row>
    <row r="419" spans="6:6" x14ac:dyDescent="0.25">
      <c r="F419" s="10"/>
    </row>
    <row r="420" spans="6:6" x14ac:dyDescent="0.25">
      <c r="F420" s="10"/>
    </row>
    <row r="421" spans="6:6" x14ac:dyDescent="0.25">
      <c r="F421" s="10"/>
    </row>
    <row r="422" spans="6:6" x14ac:dyDescent="0.25">
      <c r="F422" s="10"/>
    </row>
    <row r="423" spans="6:6" x14ac:dyDescent="0.25">
      <c r="F423" s="10"/>
    </row>
    <row r="424" spans="6:6" x14ac:dyDescent="0.25">
      <c r="F424" s="10"/>
    </row>
    <row r="425" spans="6:6" x14ac:dyDescent="0.25">
      <c r="F425" s="10"/>
    </row>
    <row r="426" spans="6:6" x14ac:dyDescent="0.25">
      <c r="F426" s="10"/>
    </row>
    <row r="427" spans="6:6" x14ac:dyDescent="0.25">
      <c r="F427" s="10"/>
    </row>
    <row r="428" spans="6:6" x14ac:dyDescent="0.25">
      <c r="F428" s="10"/>
    </row>
    <row r="429" spans="6:6" x14ac:dyDescent="0.25">
      <c r="F429" s="10"/>
    </row>
    <row r="430" spans="6:6" x14ac:dyDescent="0.25">
      <c r="F430" s="10"/>
    </row>
    <row r="431" spans="6:6" x14ac:dyDescent="0.25">
      <c r="F431" s="10"/>
    </row>
    <row r="432" spans="6:6" x14ac:dyDescent="0.25">
      <c r="F432" s="10"/>
    </row>
    <row r="433" spans="6:6" x14ac:dyDescent="0.25">
      <c r="F433" s="10"/>
    </row>
    <row r="434" spans="6:6" x14ac:dyDescent="0.25">
      <c r="F434" s="10"/>
    </row>
    <row r="435" spans="6:6" x14ac:dyDescent="0.25">
      <c r="F435" s="10"/>
    </row>
    <row r="436" spans="6:6" x14ac:dyDescent="0.25">
      <c r="F436" s="10"/>
    </row>
    <row r="437" spans="6:6" x14ac:dyDescent="0.25">
      <c r="F437" s="10"/>
    </row>
    <row r="438" spans="6:6" x14ac:dyDescent="0.25">
      <c r="F438" s="10"/>
    </row>
    <row r="439" spans="6:6" x14ac:dyDescent="0.25">
      <c r="F439" s="10"/>
    </row>
    <row r="440" spans="6:6" x14ac:dyDescent="0.25">
      <c r="F440" s="10"/>
    </row>
    <row r="441" spans="6:6" x14ac:dyDescent="0.25">
      <c r="F441" s="10"/>
    </row>
    <row r="442" spans="6:6" x14ac:dyDescent="0.25">
      <c r="F442" s="10"/>
    </row>
    <row r="443" spans="6:6" x14ac:dyDescent="0.25">
      <c r="F443" s="10"/>
    </row>
    <row r="444" spans="6:6" x14ac:dyDescent="0.25">
      <c r="F444" s="10"/>
    </row>
    <row r="445" spans="6:6" x14ac:dyDescent="0.25">
      <c r="F445" s="10"/>
    </row>
    <row r="446" spans="6:6" x14ac:dyDescent="0.25">
      <c r="F446" s="10"/>
    </row>
    <row r="447" spans="6:6" x14ac:dyDescent="0.25">
      <c r="F447" s="10"/>
    </row>
    <row r="448" spans="6:6" x14ac:dyDescent="0.25">
      <c r="F448" s="10"/>
    </row>
    <row r="449" spans="6:6" x14ac:dyDescent="0.25">
      <c r="F449" s="10"/>
    </row>
    <row r="450" spans="6:6" x14ac:dyDescent="0.25">
      <c r="F450" s="10"/>
    </row>
    <row r="451" spans="6:6" x14ac:dyDescent="0.25">
      <c r="F451" s="10"/>
    </row>
    <row r="452" spans="6:6" x14ac:dyDescent="0.25">
      <c r="F452" s="10"/>
    </row>
    <row r="453" spans="6:6" x14ac:dyDescent="0.25">
      <c r="F453" s="10"/>
    </row>
    <row r="454" spans="6:6" x14ac:dyDescent="0.25">
      <c r="F454" s="10"/>
    </row>
    <row r="455" spans="6:6" x14ac:dyDescent="0.25">
      <c r="F455" s="10"/>
    </row>
    <row r="456" spans="6:6" x14ac:dyDescent="0.25">
      <c r="F456" s="10"/>
    </row>
    <row r="457" spans="6:6" x14ac:dyDescent="0.25">
      <c r="F457" s="10"/>
    </row>
    <row r="458" spans="6:6" x14ac:dyDescent="0.25">
      <c r="F458" s="10"/>
    </row>
    <row r="459" spans="6:6" x14ac:dyDescent="0.25">
      <c r="F459" s="10"/>
    </row>
    <row r="460" spans="6:6" x14ac:dyDescent="0.25">
      <c r="F460" s="10"/>
    </row>
    <row r="461" spans="6:6" x14ac:dyDescent="0.25">
      <c r="F461" s="10"/>
    </row>
    <row r="462" spans="6:6" x14ac:dyDescent="0.25">
      <c r="F462" s="10"/>
    </row>
    <row r="463" spans="6:6" x14ac:dyDescent="0.25">
      <c r="F463" s="10"/>
    </row>
    <row r="464" spans="6:6" x14ac:dyDescent="0.25">
      <c r="F464" s="10"/>
    </row>
    <row r="465" spans="6:6" x14ac:dyDescent="0.25">
      <c r="F465" s="10"/>
    </row>
    <row r="466" spans="6:6" x14ac:dyDescent="0.25">
      <c r="F466" s="10"/>
    </row>
    <row r="467" spans="6:6" x14ac:dyDescent="0.25">
      <c r="F467" s="10"/>
    </row>
    <row r="468" spans="6:6" x14ac:dyDescent="0.25">
      <c r="F468" s="10"/>
    </row>
    <row r="469" spans="6:6" x14ac:dyDescent="0.25">
      <c r="F469" s="10"/>
    </row>
    <row r="470" spans="6:6" x14ac:dyDescent="0.25">
      <c r="F470" s="10"/>
    </row>
    <row r="471" spans="6:6" x14ac:dyDescent="0.25">
      <c r="F471" s="10"/>
    </row>
    <row r="472" spans="6:6" x14ac:dyDescent="0.25">
      <c r="F472" s="10"/>
    </row>
    <row r="473" spans="6:6" x14ac:dyDescent="0.25">
      <c r="F473" s="10"/>
    </row>
    <row r="474" spans="6:6" x14ac:dyDescent="0.25">
      <c r="F474" s="10"/>
    </row>
    <row r="475" spans="6:6" x14ac:dyDescent="0.25">
      <c r="F475" s="10"/>
    </row>
    <row r="476" spans="6:6" x14ac:dyDescent="0.25">
      <c r="F476" s="10"/>
    </row>
    <row r="477" spans="6:6" x14ac:dyDescent="0.25">
      <c r="F477" s="10"/>
    </row>
    <row r="478" spans="6:6" x14ac:dyDescent="0.25">
      <c r="F478" s="10"/>
    </row>
    <row r="479" spans="6:6" x14ac:dyDescent="0.25">
      <c r="F479" s="10"/>
    </row>
    <row r="480" spans="6:6" x14ac:dyDescent="0.25">
      <c r="F480" s="10"/>
    </row>
    <row r="481" spans="6:6" x14ac:dyDescent="0.25">
      <c r="F481" s="10"/>
    </row>
    <row r="482" spans="6:6" x14ac:dyDescent="0.25">
      <c r="F482" s="10"/>
    </row>
    <row r="483" spans="6:6" x14ac:dyDescent="0.25">
      <c r="F483" s="10"/>
    </row>
    <row r="484" spans="6:6" x14ac:dyDescent="0.25">
      <c r="F484" s="10"/>
    </row>
    <row r="485" spans="6:6" x14ac:dyDescent="0.25">
      <c r="F485" s="10"/>
    </row>
    <row r="486" spans="6:6" x14ac:dyDescent="0.25">
      <c r="F486" s="10"/>
    </row>
    <row r="487" spans="6:6" x14ac:dyDescent="0.25">
      <c r="F487" s="10"/>
    </row>
    <row r="488" spans="6:6" x14ac:dyDescent="0.25">
      <c r="F488" s="10"/>
    </row>
    <row r="489" spans="6:6" x14ac:dyDescent="0.25">
      <c r="F489" s="10"/>
    </row>
    <row r="490" spans="6:6" x14ac:dyDescent="0.25">
      <c r="F490" s="10"/>
    </row>
    <row r="491" spans="6:6" x14ac:dyDescent="0.25">
      <c r="F491" s="10"/>
    </row>
    <row r="492" spans="6:6" x14ac:dyDescent="0.25">
      <c r="F492" s="10"/>
    </row>
    <row r="493" spans="6:6" x14ac:dyDescent="0.25">
      <c r="F493" s="10"/>
    </row>
    <row r="494" spans="6:6" x14ac:dyDescent="0.25">
      <c r="F494" s="10"/>
    </row>
    <row r="495" spans="6:6" x14ac:dyDescent="0.25">
      <c r="F495" s="10"/>
    </row>
    <row r="496" spans="6:6" x14ac:dyDescent="0.25">
      <c r="F496" s="10"/>
    </row>
    <row r="497" spans="6:6" x14ac:dyDescent="0.25">
      <c r="F497" s="10"/>
    </row>
    <row r="498" spans="6:6" x14ac:dyDescent="0.25">
      <c r="F498" s="10"/>
    </row>
    <row r="499" spans="6:6" x14ac:dyDescent="0.25">
      <c r="F499" s="10"/>
    </row>
    <row r="500" spans="6:6" x14ac:dyDescent="0.25">
      <c r="F500" s="10"/>
    </row>
    <row r="501" spans="6:6" x14ac:dyDescent="0.25">
      <c r="F501" s="10"/>
    </row>
    <row r="502" spans="6:6" x14ac:dyDescent="0.25">
      <c r="F502" s="10"/>
    </row>
    <row r="503" spans="6:6" x14ac:dyDescent="0.25">
      <c r="F503" s="10"/>
    </row>
    <row r="504" spans="6:6" x14ac:dyDescent="0.25">
      <c r="F504" s="10"/>
    </row>
    <row r="505" spans="6:6" x14ac:dyDescent="0.25">
      <c r="F505" s="10"/>
    </row>
    <row r="506" spans="6:6" x14ac:dyDescent="0.25">
      <c r="F506" s="10"/>
    </row>
    <row r="507" spans="6:6" x14ac:dyDescent="0.25">
      <c r="F507" s="10"/>
    </row>
    <row r="508" spans="6:6" x14ac:dyDescent="0.25">
      <c r="F508" s="10"/>
    </row>
    <row r="509" spans="6:6" x14ac:dyDescent="0.25">
      <c r="F509" s="10"/>
    </row>
    <row r="510" spans="6:6" x14ac:dyDescent="0.25">
      <c r="F510" s="10"/>
    </row>
    <row r="511" spans="6:6" x14ac:dyDescent="0.25">
      <c r="F511" s="10"/>
    </row>
    <row r="512" spans="6:6" x14ac:dyDescent="0.25">
      <c r="F512" s="10"/>
    </row>
    <row r="513" spans="6:6" x14ac:dyDescent="0.25">
      <c r="F513" s="10"/>
    </row>
    <row r="514" spans="6:6" x14ac:dyDescent="0.25">
      <c r="F514" s="10"/>
    </row>
    <row r="515" spans="6:6" x14ac:dyDescent="0.25">
      <c r="F515" s="10"/>
    </row>
    <row r="516" spans="6:6" x14ac:dyDescent="0.25">
      <c r="F516" s="10"/>
    </row>
    <row r="517" spans="6:6" x14ac:dyDescent="0.25">
      <c r="F517" s="10"/>
    </row>
    <row r="518" spans="6:6" x14ac:dyDescent="0.25">
      <c r="F518" s="10"/>
    </row>
    <row r="519" spans="6:6" x14ac:dyDescent="0.25">
      <c r="F519" s="10"/>
    </row>
    <row r="520" spans="6:6" x14ac:dyDescent="0.25">
      <c r="F520" s="10"/>
    </row>
    <row r="521" spans="6:6" x14ac:dyDescent="0.25">
      <c r="F521" s="10"/>
    </row>
    <row r="522" spans="6:6" x14ac:dyDescent="0.25">
      <c r="F522" s="10"/>
    </row>
    <row r="523" spans="6:6" x14ac:dyDescent="0.25">
      <c r="F523" s="10"/>
    </row>
    <row r="524" spans="6:6" x14ac:dyDescent="0.25">
      <c r="F524" s="10"/>
    </row>
    <row r="525" spans="6:6" x14ac:dyDescent="0.25">
      <c r="F525" s="10"/>
    </row>
    <row r="526" spans="6:6" x14ac:dyDescent="0.25">
      <c r="F526" s="10"/>
    </row>
    <row r="527" spans="6:6" x14ac:dyDescent="0.25">
      <c r="F527" s="10"/>
    </row>
    <row r="528" spans="6:6" x14ac:dyDescent="0.25">
      <c r="F528" s="10"/>
    </row>
    <row r="529" spans="6:6" x14ac:dyDescent="0.25">
      <c r="F529" s="10"/>
    </row>
    <row r="530" spans="6:6" x14ac:dyDescent="0.25">
      <c r="F530" s="10"/>
    </row>
    <row r="531" spans="6:6" x14ac:dyDescent="0.25">
      <c r="F531" s="10"/>
    </row>
    <row r="532" spans="6:6" x14ac:dyDescent="0.25">
      <c r="F532" s="10"/>
    </row>
    <row r="533" spans="6:6" x14ac:dyDescent="0.25">
      <c r="F533" s="10"/>
    </row>
    <row r="534" spans="6:6" x14ac:dyDescent="0.25">
      <c r="F534" s="10"/>
    </row>
    <row r="535" spans="6:6" x14ac:dyDescent="0.25">
      <c r="F535" s="10"/>
    </row>
    <row r="536" spans="6:6" x14ac:dyDescent="0.25">
      <c r="F536" s="10"/>
    </row>
    <row r="537" spans="6:6" x14ac:dyDescent="0.25">
      <c r="F537" s="10"/>
    </row>
    <row r="538" spans="6:6" x14ac:dyDescent="0.25">
      <c r="F538" s="10"/>
    </row>
    <row r="539" spans="6:6" x14ac:dyDescent="0.25">
      <c r="F539" s="10"/>
    </row>
    <row r="540" spans="6:6" x14ac:dyDescent="0.25">
      <c r="F540" s="10"/>
    </row>
    <row r="541" spans="6:6" x14ac:dyDescent="0.25">
      <c r="F541" s="10"/>
    </row>
    <row r="542" spans="6:6" x14ac:dyDescent="0.25">
      <c r="F542" s="10"/>
    </row>
    <row r="543" spans="6:6" x14ac:dyDescent="0.25">
      <c r="F543" s="10"/>
    </row>
    <row r="544" spans="6:6" x14ac:dyDescent="0.25">
      <c r="F544" s="10"/>
    </row>
    <row r="545" spans="6:6" x14ac:dyDescent="0.25">
      <c r="F545" s="10"/>
    </row>
    <row r="546" spans="6:6" x14ac:dyDescent="0.25">
      <c r="F546" s="10"/>
    </row>
    <row r="547" spans="6:6" x14ac:dyDescent="0.25">
      <c r="F547" s="10"/>
    </row>
    <row r="548" spans="6:6" x14ac:dyDescent="0.25">
      <c r="F548" s="10"/>
    </row>
    <row r="549" spans="6:6" x14ac:dyDescent="0.25">
      <c r="F549" s="10"/>
    </row>
    <row r="550" spans="6:6" x14ac:dyDescent="0.25">
      <c r="F550" s="10"/>
    </row>
    <row r="551" spans="6:6" x14ac:dyDescent="0.25">
      <c r="F551" s="10"/>
    </row>
    <row r="552" spans="6:6" x14ac:dyDescent="0.25">
      <c r="F552" s="10"/>
    </row>
    <row r="553" spans="6:6" x14ac:dyDescent="0.25">
      <c r="F553" s="10"/>
    </row>
    <row r="554" spans="6:6" x14ac:dyDescent="0.25">
      <c r="F554" s="10"/>
    </row>
    <row r="555" spans="6:6" x14ac:dyDescent="0.25">
      <c r="F555" s="10"/>
    </row>
    <row r="556" spans="6:6" x14ac:dyDescent="0.25">
      <c r="F556" s="10"/>
    </row>
    <row r="557" spans="6:6" x14ac:dyDescent="0.25">
      <c r="F557" s="10"/>
    </row>
    <row r="558" spans="6:6" x14ac:dyDescent="0.25">
      <c r="F558" s="10"/>
    </row>
    <row r="559" spans="6:6" x14ac:dyDescent="0.25">
      <c r="F559" s="10"/>
    </row>
    <row r="560" spans="6:6" x14ac:dyDescent="0.25">
      <c r="F560" s="10"/>
    </row>
    <row r="561" spans="6:6" x14ac:dyDescent="0.25">
      <c r="F561" s="10"/>
    </row>
    <row r="562" spans="6:6" x14ac:dyDescent="0.25">
      <c r="F562" s="10"/>
    </row>
    <row r="563" spans="6:6" x14ac:dyDescent="0.25">
      <c r="F563" s="10"/>
    </row>
    <row r="564" spans="6:6" x14ac:dyDescent="0.25">
      <c r="F564" s="10"/>
    </row>
    <row r="565" spans="6:6" x14ac:dyDescent="0.25">
      <c r="F565" s="10"/>
    </row>
    <row r="566" spans="6:6" x14ac:dyDescent="0.25">
      <c r="F566" s="10"/>
    </row>
    <row r="567" spans="6:6" x14ac:dyDescent="0.25">
      <c r="F567" s="10"/>
    </row>
    <row r="568" spans="6:6" x14ac:dyDescent="0.25">
      <c r="F568" s="10"/>
    </row>
    <row r="569" spans="6:6" x14ac:dyDescent="0.25">
      <c r="F569" s="10"/>
    </row>
    <row r="570" spans="6:6" x14ac:dyDescent="0.25">
      <c r="F570" s="10"/>
    </row>
    <row r="571" spans="6:6" x14ac:dyDescent="0.25">
      <c r="F571" s="10"/>
    </row>
    <row r="572" spans="6:6" x14ac:dyDescent="0.25">
      <c r="F572" s="10"/>
    </row>
    <row r="573" spans="6:6" x14ac:dyDescent="0.25">
      <c r="F573" s="10"/>
    </row>
    <row r="574" spans="6:6" x14ac:dyDescent="0.25">
      <c r="F574" s="10"/>
    </row>
    <row r="575" spans="6:6" x14ac:dyDescent="0.25">
      <c r="F575" s="10"/>
    </row>
    <row r="576" spans="6:6" x14ac:dyDescent="0.25">
      <c r="F576" s="10"/>
    </row>
    <row r="577" spans="6:6" x14ac:dyDescent="0.25">
      <c r="F577" s="10"/>
    </row>
    <row r="578" spans="6:6" x14ac:dyDescent="0.25">
      <c r="F578" s="10"/>
    </row>
    <row r="579" spans="6:6" x14ac:dyDescent="0.25">
      <c r="F579" s="10"/>
    </row>
    <row r="580" spans="6:6" x14ac:dyDescent="0.25">
      <c r="F580" s="10"/>
    </row>
    <row r="581" spans="6:6" x14ac:dyDescent="0.25">
      <c r="F581" s="10"/>
    </row>
    <row r="582" spans="6:6" x14ac:dyDescent="0.25">
      <c r="F582" s="10"/>
    </row>
    <row r="583" spans="6:6" x14ac:dyDescent="0.25">
      <c r="F583" s="10"/>
    </row>
    <row r="584" spans="6:6" x14ac:dyDescent="0.25">
      <c r="F584" s="10"/>
    </row>
    <row r="585" spans="6:6" x14ac:dyDescent="0.25">
      <c r="F585" s="10"/>
    </row>
    <row r="586" spans="6:6" x14ac:dyDescent="0.25">
      <c r="F586" s="10"/>
    </row>
    <row r="587" spans="6:6" x14ac:dyDescent="0.25">
      <c r="F587" s="10"/>
    </row>
    <row r="588" spans="6:6" x14ac:dyDescent="0.25">
      <c r="F588" s="10"/>
    </row>
    <row r="589" spans="6:6" x14ac:dyDescent="0.25">
      <c r="F589" s="10"/>
    </row>
    <row r="590" spans="6:6" x14ac:dyDescent="0.25">
      <c r="F590" s="10"/>
    </row>
    <row r="591" spans="6:6" x14ac:dyDescent="0.25">
      <c r="F591" s="10"/>
    </row>
    <row r="592" spans="6:6" x14ac:dyDescent="0.25">
      <c r="F592" s="10"/>
    </row>
    <row r="593" spans="6:6" x14ac:dyDescent="0.25">
      <c r="F593" s="10"/>
    </row>
    <row r="594" spans="6:6" x14ac:dyDescent="0.25">
      <c r="F594" s="10"/>
    </row>
    <row r="595" spans="6:6" x14ac:dyDescent="0.25">
      <c r="F595" s="10"/>
    </row>
    <row r="596" spans="6:6" x14ac:dyDescent="0.25">
      <c r="F596" s="10"/>
    </row>
    <row r="597" spans="6:6" x14ac:dyDescent="0.25">
      <c r="F597" s="10"/>
    </row>
    <row r="598" spans="6:6" x14ac:dyDescent="0.25">
      <c r="F598" s="10"/>
    </row>
    <row r="599" spans="6:6" x14ac:dyDescent="0.25">
      <c r="F599" s="10"/>
    </row>
    <row r="600" spans="6:6" x14ac:dyDescent="0.25">
      <c r="F600" s="10"/>
    </row>
    <row r="601" spans="6:6" x14ac:dyDescent="0.25">
      <c r="F601" s="10"/>
    </row>
    <row r="602" spans="6:6" x14ac:dyDescent="0.25">
      <c r="F602" s="10"/>
    </row>
    <row r="603" spans="6:6" x14ac:dyDescent="0.25">
      <c r="F603" s="10"/>
    </row>
    <row r="604" spans="6:6" x14ac:dyDescent="0.25">
      <c r="F604" s="10"/>
    </row>
    <row r="605" spans="6:6" x14ac:dyDescent="0.25">
      <c r="F605" s="10"/>
    </row>
    <row r="606" spans="6:6" x14ac:dyDescent="0.25">
      <c r="F606" s="10"/>
    </row>
    <row r="607" spans="6:6" x14ac:dyDescent="0.25">
      <c r="F607" s="10"/>
    </row>
    <row r="608" spans="6:6" x14ac:dyDescent="0.25">
      <c r="F608" s="10"/>
    </row>
    <row r="609" spans="6:6" x14ac:dyDescent="0.25">
      <c r="F609" s="10"/>
    </row>
    <row r="610" spans="6:6" x14ac:dyDescent="0.25">
      <c r="F610" s="10"/>
    </row>
    <row r="611" spans="6:6" x14ac:dyDescent="0.25">
      <c r="F611" s="10"/>
    </row>
    <row r="612" spans="6:6" x14ac:dyDescent="0.25">
      <c r="F612" s="10"/>
    </row>
    <row r="613" spans="6:6" x14ac:dyDescent="0.25">
      <c r="F613" s="10"/>
    </row>
    <row r="614" spans="6:6" x14ac:dyDescent="0.25">
      <c r="F614" s="10"/>
    </row>
    <row r="615" spans="6:6" x14ac:dyDescent="0.25">
      <c r="F615" s="10"/>
    </row>
    <row r="616" spans="6:6" x14ac:dyDescent="0.25">
      <c r="F616" s="10"/>
    </row>
    <row r="617" spans="6:6" x14ac:dyDescent="0.25">
      <c r="F617" s="10"/>
    </row>
    <row r="618" spans="6:6" x14ac:dyDescent="0.25">
      <c r="F618" s="10"/>
    </row>
    <row r="619" spans="6:6" x14ac:dyDescent="0.25">
      <c r="F619" s="10"/>
    </row>
    <row r="620" spans="6:6" x14ac:dyDescent="0.25">
      <c r="F620" s="10"/>
    </row>
    <row r="621" spans="6:6" x14ac:dyDescent="0.25">
      <c r="F621" s="10"/>
    </row>
    <row r="622" spans="6:6" x14ac:dyDescent="0.25">
      <c r="F622" s="10"/>
    </row>
    <row r="623" spans="6:6" x14ac:dyDescent="0.25">
      <c r="F623" s="10"/>
    </row>
    <row r="624" spans="6:6" x14ac:dyDescent="0.25">
      <c r="F624" s="10"/>
    </row>
    <row r="625" spans="6:6" x14ac:dyDescent="0.25">
      <c r="F625" s="10"/>
    </row>
    <row r="626" spans="6:6" x14ac:dyDescent="0.25">
      <c r="F626" s="10"/>
    </row>
    <row r="627" spans="6:6" x14ac:dyDescent="0.25">
      <c r="F627" s="10"/>
    </row>
    <row r="628" spans="6:6" x14ac:dyDescent="0.25">
      <c r="F628" s="10"/>
    </row>
    <row r="629" spans="6:6" x14ac:dyDescent="0.25">
      <c r="F629" s="10"/>
    </row>
    <row r="630" spans="6:6" x14ac:dyDescent="0.25">
      <c r="F630" s="10"/>
    </row>
    <row r="631" spans="6:6" x14ac:dyDescent="0.25">
      <c r="F631" s="10"/>
    </row>
    <row r="632" spans="6:6" x14ac:dyDescent="0.25">
      <c r="F632" s="10"/>
    </row>
    <row r="633" spans="6:6" x14ac:dyDescent="0.25">
      <c r="F633" s="10"/>
    </row>
    <row r="634" spans="6:6" x14ac:dyDescent="0.25">
      <c r="F634" s="10"/>
    </row>
    <row r="635" spans="6:6" x14ac:dyDescent="0.25">
      <c r="F635" s="10"/>
    </row>
    <row r="636" spans="6:6" x14ac:dyDescent="0.25">
      <c r="F636" s="10"/>
    </row>
    <row r="637" spans="6:6" x14ac:dyDescent="0.25">
      <c r="F637" s="10"/>
    </row>
    <row r="638" spans="6:6" x14ac:dyDescent="0.25">
      <c r="F638" s="10"/>
    </row>
    <row r="639" spans="6:6" x14ac:dyDescent="0.25">
      <c r="F639" s="10"/>
    </row>
    <row r="640" spans="6:6" x14ac:dyDescent="0.25">
      <c r="F640" s="10"/>
    </row>
    <row r="641" spans="6:6" x14ac:dyDescent="0.25">
      <c r="F641" s="10"/>
    </row>
    <row r="642" spans="6:6" x14ac:dyDescent="0.25">
      <c r="F642" s="10"/>
    </row>
    <row r="643" spans="6:6" x14ac:dyDescent="0.25">
      <c r="F643" s="10"/>
    </row>
    <row r="644" spans="6:6" x14ac:dyDescent="0.25">
      <c r="F644" s="10"/>
    </row>
    <row r="645" spans="6:6" x14ac:dyDescent="0.25">
      <c r="F645" s="10"/>
    </row>
    <row r="646" spans="6:6" x14ac:dyDescent="0.25">
      <c r="F646" s="10"/>
    </row>
    <row r="647" spans="6:6" x14ac:dyDescent="0.25">
      <c r="F647" s="10"/>
    </row>
    <row r="648" spans="6:6" x14ac:dyDescent="0.25">
      <c r="F648" s="10"/>
    </row>
    <row r="649" spans="6:6" x14ac:dyDescent="0.25">
      <c r="F649" s="10"/>
    </row>
    <row r="650" spans="6:6" x14ac:dyDescent="0.25">
      <c r="F650" s="10"/>
    </row>
    <row r="651" spans="6:6" x14ac:dyDescent="0.25">
      <c r="F651" s="10"/>
    </row>
    <row r="652" spans="6:6" x14ac:dyDescent="0.25">
      <c r="F652" s="10"/>
    </row>
    <row r="653" spans="6:6" x14ac:dyDescent="0.25">
      <c r="F653" s="10"/>
    </row>
    <row r="654" spans="6:6" x14ac:dyDescent="0.25">
      <c r="F654" s="10"/>
    </row>
    <row r="655" spans="6:6" x14ac:dyDescent="0.25">
      <c r="F655" s="10"/>
    </row>
    <row r="656" spans="6:6" x14ac:dyDescent="0.25">
      <c r="F656" s="10"/>
    </row>
    <row r="657" spans="6:6" x14ac:dyDescent="0.25">
      <c r="F657" s="10"/>
    </row>
    <row r="658" spans="6:6" x14ac:dyDescent="0.25">
      <c r="F658" s="10"/>
    </row>
    <row r="659" spans="6:6" x14ac:dyDescent="0.25">
      <c r="F659" s="10"/>
    </row>
    <row r="660" spans="6:6" x14ac:dyDescent="0.25">
      <c r="F660" s="10"/>
    </row>
    <row r="661" spans="6:6" x14ac:dyDescent="0.25">
      <c r="F661" s="10"/>
    </row>
    <row r="662" spans="6:6" x14ac:dyDescent="0.25">
      <c r="F662" s="10"/>
    </row>
    <row r="663" spans="6:6" x14ac:dyDescent="0.25">
      <c r="F663" s="10"/>
    </row>
    <row r="664" spans="6:6" x14ac:dyDescent="0.25">
      <c r="F664" s="10"/>
    </row>
    <row r="665" spans="6:6" x14ac:dyDescent="0.25">
      <c r="F665" s="10"/>
    </row>
    <row r="666" spans="6:6" x14ac:dyDescent="0.25">
      <c r="F666" s="10"/>
    </row>
    <row r="667" spans="6:6" x14ac:dyDescent="0.25">
      <c r="F667" s="10"/>
    </row>
    <row r="668" spans="6:6" x14ac:dyDescent="0.25">
      <c r="F668" s="10"/>
    </row>
    <row r="669" spans="6:6" x14ac:dyDescent="0.25">
      <c r="F669" s="10"/>
    </row>
    <row r="670" spans="6:6" x14ac:dyDescent="0.25">
      <c r="F670" s="10"/>
    </row>
    <row r="671" spans="6:6" x14ac:dyDescent="0.25">
      <c r="F671" s="10"/>
    </row>
    <row r="672" spans="6:6" x14ac:dyDescent="0.25">
      <c r="F672" s="10"/>
    </row>
    <row r="673" spans="6:6" x14ac:dyDescent="0.25">
      <c r="F673" s="10"/>
    </row>
    <row r="674" spans="6:6" x14ac:dyDescent="0.25">
      <c r="F674" s="10"/>
    </row>
    <row r="675" spans="6:6" x14ac:dyDescent="0.25">
      <c r="F675" s="10"/>
    </row>
    <row r="676" spans="6:6" x14ac:dyDescent="0.25">
      <c r="F676" s="10"/>
    </row>
    <row r="677" spans="6:6" x14ac:dyDescent="0.25">
      <c r="F677" s="10"/>
    </row>
    <row r="678" spans="6:6" x14ac:dyDescent="0.25">
      <c r="F678" s="10"/>
    </row>
    <row r="679" spans="6:6" x14ac:dyDescent="0.25">
      <c r="F679" s="10"/>
    </row>
    <row r="680" spans="6:6" x14ac:dyDescent="0.25">
      <c r="F680" s="10"/>
    </row>
    <row r="681" spans="6:6" x14ac:dyDescent="0.25">
      <c r="F681" s="10"/>
    </row>
    <row r="682" spans="6:6" x14ac:dyDescent="0.25">
      <c r="F682" s="10"/>
    </row>
    <row r="683" spans="6:6" x14ac:dyDescent="0.25">
      <c r="F683" s="10"/>
    </row>
    <row r="684" spans="6:6" x14ac:dyDescent="0.25">
      <c r="F684" s="10"/>
    </row>
    <row r="685" spans="6:6" x14ac:dyDescent="0.25">
      <c r="F685" s="10"/>
    </row>
    <row r="686" spans="6:6" x14ac:dyDescent="0.25">
      <c r="F686" s="10"/>
    </row>
    <row r="687" spans="6:6" x14ac:dyDescent="0.25">
      <c r="F687" s="10"/>
    </row>
    <row r="688" spans="6:6" x14ac:dyDescent="0.25">
      <c r="F688" s="10"/>
    </row>
    <row r="689" spans="6:6" x14ac:dyDescent="0.25">
      <c r="F689" s="10"/>
    </row>
    <row r="690" spans="6:6" x14ac:dyDescent="0.25">
      <c r="F690" s="10"/>
    </row>
    <row r="691" spans="6:6" x14ac:dyDescent="0.25">
      <c r="F691" s="10"/>
    </row>
    <row r="692" spans="6:6" x14ac:dyDescent="0.25">
      <c r="F692" s="10"/>
    </row>
    <row r="693" spans="6:6" x14ac:dyDescent="0.25">
      <c r="F693" s="10"/>
    </row>
    <row r="694" spans="6:6" x14ac:dyDescent="0.25">
      <c r="F694" s="10"/>
    </row>
    <row r="695" spans="6:6" x14ac:dyDescent="0.25">
      <c r="F695" s="10"/>
    </row>
    <row r="696" spans="6:6" x14ac:dyDescent="0.25">
      <c r="F696" s="10"/>
    </row>
    <row r="697" spans="6:6" x14ac:dyDescent="0.25">
      <c r="F697" s="10"/>
    </row>
    <row r="698" spans="6:6" x14ac:dyDescent="0.25">
      <c r="F698" s="10"/>
    </row>
    <row r="699" spans="6:6" x14ac:dyDescent="0.25">
      <c r="F699" s="10"/>
    </row>
    <row r="700" spans="6:6" x14ac:dyDescent="0.25">
      <c r="F700" s="10"/>
    </row>
    <row r="701" spans="6:6" x14ac:dyDescent="0.25">
      <c r="F701" s="10"/>
    </row>
    <row r="702" spans="6:6" x14ac:dyDescent="0.25">
      <c r="F702" s="10"/>
    </row>
    <row r="703" spans="6:6" x14ac:dyDescent="0.25">
      <c r="F703" s="10"/>
    </row>
    <row r="704" spans="6:6" x14ac:dyDescent="0.25">
      <c r="F704" s="10"/>
    </row>
    <row r="705" spans="6:6" x14ac:dyDescent="0.25">
      <c r="F705" s="10"/>
    </row>
    <row r="706" spans="6:6" x14ac:dyDescent="0.25">
      <c r="F706" s="10"/>
    </row>
    <row r="707" spans="6:6" x14ac:dyDescent="0.25">
      <c r="F707" s="10"/>
    </row>
    <row r="708" spans="6:6" x14ac:dyDescent="0.25">
      <c r="F708" s="10"/>
    </row>
    <row r="709" spans="6:6" x14ac:dyDescent="0.25">
      <c r="F709" s="10"/>
    </row>
    <row r="710" spans="6:6" x14ac:dyDescent="0.25">
      <c r="F710" s="10"/>
    </row>
    <row r="711" spans="6:6" x14ac:dyDescent="0.25">
      <c r="F711" s="10"/>
    </row>
    <row r="712" spans="6:6" x14ac:dyDescent="0.25">
      <c r="F712" s="10"/>
    </row>
    <row r="713" spans="6:6" x14ac:dyDescent="0.25">
      <c r="F713" s="10"/>
    </row>
    <row r="714" spans="6:6" x14ac:dyDescent="0.25">
      <c r="F714" s="10"/>
    </row>
    <row r="715" spans="6:6" x14ac:dyDescent="0.25">
      <c r="F715" s="10"/>
    </row>
    <row r="716" spans="6:6" x14ac:dyDescent="0.25">
      <c r="F716" s="10"/>
    </row>
    <row r="717" spans="6:6" x14ac:dyDescent="0.25">
      <c r="F717" s="10"/>
    </row>
    <row r="718" spans="6:6" x14ac:dyDescent="0.25">
      <c r="F718" s="10"/>
    </row>
    <row r="719" spans="6:6" x14ac:dyDescent="0.25">
      <c r="F719" s="10"/>
    </row>
    <row r="720" spans="6:6" x14ac:dyDescent="0.25">
      <c r="F720" s="10"/>
    </row>
    <row r="721" spans="6:6" x14ac:dyDescent="0.25">
      <c r="F721" s="10"/>
    </row>
    <row r="722" spans="6:6" x14ac:dyDescent="0.25">
      <c r="F722" s="10"/>
    </row>
    <row r="723" spans="6:6" x14ac:dyDescent="0.25">
      <c r="F723" s="10"/>
    </row>
    <row r="724" spans="6:6" x14ac:dyDescent="0.25">
      <c r="F724" s="10"/>
    </row>
    <row r="725" spans="6:6" x14ac:dyDescent="0.25">
      <c r="F725" s="10"/>
    </row>
    <row r="726" spans="6:6" x14ac:dyDescent="0.25">
      <c r="F726" s="10"/>
    </row>
    <row r="727" spans="6:6" x14ac:dyDescent="0.25">
      <c r="F727" s="10"/>
    </row>
    <row r="728" spans="6:6" x14ac:dyDescent="0.25">
      <c r="F728" s="10"/>
    </row>
    <row r="729" spans="6:6" x14ac:dyDescent="0.25">
      <c r="F729" s="10"/>
    </row>
    <row r="730" spans="6:6" x14ac:dyDescent="0.25">
      <c r="F730" s="10"/>
    </row>
    <row r="731" spans="6:6" x14ac:dyDescent="0.25">
      <c r="F731" s="10"/>
    </row>
    <row r="732" spans="6:6" x14ac:dyDescent="0.25">
      <c r="F732" s="10"/>
    </row>
    <row r="733" spans="6:6" x14ac:dyDescent="0.25">
      <c r="F733" s="10"/>
    </row>
    <row r="734" spans="6:6" x14ac:dyDescent="0.25">
      <c r="F734" s="10"/>
    </row>
    <row r="735" spans="6:6" x14ac:dyDescent="0.25">
      <c r="F735" s="10"/>
    </row>
    <row r="736" spans="6:6" x14ac:dyDescent="0.25">
      <c r="F736" s="10"/>
    </row>
    <row r="737" spans="6:6" x14ac:dyDescent="0.25">
      <c r="F737" s="10"/>
    </row>
    <row r="738" spans="6:6" x14ac:dyDescent="0.25">
      <c r="F738" s="10"/>
    </row>
    <row r="739" spans="6:6" x14ac:dyDescent="0.25">
      <c r="F739" s="10"/>
    </row>
    <row r="740" spans="6:6" x14ac:dyDescent="0.25">
      <c r="F740" s="10"/>
    </row>
    <row r="741" spans="6:6" x14ac:dyDescent="0.25">
      <c r="F741" s="10"/>
    </row>
    <row r="742" spans="6:6" x14ac:dyDescent="0.25">
      <c r="F742" s="10"/>
    </row>
    <row r="743" spans="6:6" x14ac:dyDescent="0.25">
      <c r="F743" s="10"/>
    </row>
    <row r="744" spans="6:6" x14ac:dyDescent="0.25">
      <c r="F744" s="10"/>
    </row>
    <row r="745" spans="6:6" x14ac:dyDescent="0.25">
      <c r="F745" s="10"/>
    </row>
    <row r="746" spans="6:6" x14ac:dyDescent="0.25">
      <c r="F746" s="10"/>
    </row>
    <row r="747" spans="6:6" x14ac:dyDescent="0.25">
      <c r="F747" s="10"/>
    </row>
    <row r="748" spans="6:6" x14ac:dyDescent="0.25">
      <c r="F748" s="10"/>
    </row>
    <row r="749" spans="6:6" x14ac:dyDescent="0.25">
      <c r="F749" s="10"/>
    </row>
    <row r="750" spans="6:6" x14ac:dyDescent="0.25">
      <c r="F750" s="10"/>
    </row>
    <row r="751" spans="6:6" x14ac:dyDescent="0.25">
      <c r="F751" s="10"/>
    </row>
    <row r="752" spans="6:6" x14ac:dyDescent="0.25">
      <c r="F752" s="10"/>
    </row>
    <row r="753" spans="6:6" x14ac:dyDescent="0.25">
      <c r="F753" s="10"/>
    </row>
    <row r="754" spans="6:6" x14ac:dyDescent="0.25">
      <c r="F754" s="10"/>
    </row>
    <row r="755" spans="6:6" x14ac:dyDescent="0.25">
      <c r="F755" s="10"/>
    </row>
    <row r="756" spans="6:6" x14ac:dyDescent="0.25">
      <c r="F756" s="10"/>
    </row>
    <row r="757" spans="6:6" x14ac:dyDescent="0.25">
      <c r="F757" s="10"/>
    </row>
    <row r="758" spans="6:6" x14ac:dyDescent="0.25">
      <c r="F758" s="10"/>
    </row>
    <row r="759" spans="6:6" x14ac:dyDescent="0.25">
      <c r="F759" s="10"/>
    </row>
    <row r="760" spans="6:6" x14ac:dyDescent="0.25">
      <c r="F760" s="10"/>
    </row>
    <row r="761" spans="6:6" x14ac:dyDescent="0.25">
      <c r="F761" s="10"/>
    </row>
    <row r="762" spans="6:6" x14ac:dyDescent="0.25">
      <c r="F762" s="10"/>
    </row>
    <row r="763" spans="6:6" x14ac:dyDescent="0.25">
      <c r="F763" s="10"/>
    </row>
    <row r="764" spans="6:6" x14ac:dyDescent="0.25">
      <c r="F764" s="10"/>
    </row>
    <row r="765" spans="6:6" x14ac:dyDescent="0.25">
      <c r="F765" s="10"/>
    </row>
    <row r="766" spans="6:6" x14ac:dyDescent="0.25">
      <c r="F766" s="10"/>
    </row>
    <row r="767" spans="6:6" x14ac:dyDescent="0.25">
      <c r="F767" s="10"/>
    </row>
    <row r="768" spans="6:6" x14ac:dyDescent="0.25">
      <c r="F768" s="10"/>
    </row>
    <row r="769" spans="6:6" x14ac:dyDescent="0.25">
      <c r="F769" s="10"/>
    </row>
    <row r="770" spans="6:6" x14ac:dyDescent="0.25">
      <c r="F770" s="10"/>
    </row>
    <row r="771" spans="6:6" x14ac:dyDescent="0.25">
      <c r="F771" s="10"/>
    </row>
    <row r="772" spans="6:6" x14ac:dyDescent="0.25">
      <c r="F772" s="10"/>
    </row>
    <row r="773" spans="6:6" x14ac:dyDescent="0.25">
      <c r="F773" s="10"/>
    </row>
    <row r="774" spans="6:6" x14ac:dyDescent="0.25">
      <c r="F774" s="10"/>
    </row>
    <row r="775" spans="6:6" x14ac:dyDescent="0.25">
      <c r="F775" s="10"/>
    </row>
    <row r="776" spans="6:6" x14ac:dyDescent="0.25">
      <c r="F776" s="10"/>
    </row>
    <row r="777" spans="6:6" x14ac:dyDescent="0.25">
      <c r="F777" s="10"/>
    </row>
    <row r="778" spans="6:6" x14ac:dyDescent="0.25">
      <c r="F778" s="10"/>
    </row>
    <row r="779" spans="6:6" x14ac:dyDescent="0.25">
      <c r="F779" s="10"/>
    </row>
    <row r="780" spans="6:6" x14ac:dyDescent="0.25">
      <c r="F780" s="10"/>
    </row>
    <row r="781" spans="6:6" x14ac:dyDescent="0.25">
      <c r="F781" s="10"/>
    </row>
    <row r="782" spans="6:6" x14ac:dyDescent="0.25">
      <c r="F782" s="10"/>
    </row>
    <row r="783" spans="6:6" x14ac:dyDescent="0.25">
      <c r="F783" s="10"/>
    </row>
    <row r="784" spans="6:6" x14ac:dyDescent="0.25">
      <c r="F784" s="10"/>
    </row>
    <row r="785" spans="6:6" x14ac:dyDescent="0.25">
      <c r="F785" s="10"/>
    </row>
    <row r="786" spans="6:6" x14ac:dyDescent="0.25">
      <c r="F786" s="10"/>
    </row>
    <row r="787" spans="6:6" x14ac:dyDescent="0.25">
      <c r="F787" s="10"/>
    </row>
    <row r="788" spans="6:6" x14ac:dyDescent="0.25">
      <c r="F788" s="10"/>
    </row>
    <row r="789" spans="6:6" x14ac:dyDescent="0.25">
      <c r="F789" s="10"/>
    </row>
    <row r="790" spans="6:6" x14ac:dyDescent="0.25">
      <c r="F790" s="10"/>
    </row>
    <row r="791" spans="6:6" x14ac:dyDescent="0.25">
      <c r="F791" s="10"/>
    </row>
    <row r="792" spans="6:6" x14ac:dyDescent="0.25">
      <c r="F792" s="10"/>
    </row>
    <row r="793" spans="6:6" x14ac:dyDescent="0.25">
      <c r="F793" s="10"/>
    </row>
    <row r="794" spans="6:6" x14ac:dyDescent="0.25">
      <c r="F794" s="10"/>
    </row>
    <row r="795" spans="6:6" x14ac:dyDescent="0.25">
      <c r="F795" s="10"/>
    </row>
    <row r="796" spans="6:6" x14ac:dyDescent="0.25">
      <c r="F796" s="10"/>
    </row>
    <row r="797" spans="6:6" x14ac:dyDescent="0.25">
      <c r="F797" s="10"/>
    </row>
    <row r="798" spans="6:6" x14ac:dyDescent="0.25">
      <c r="F798" s="10"/>
    </row>
    <row r="799" spans="6:6" x14ac:dyDescent="0.25">
      <c r="F799" s="10"/>
    </row>
    <row r="800" spans="6:6" x14ac:dyDescent="0.25">
      <c r="F800" s="10"/>
    </row>
    <row r="801" spans="6:6" x14ac:dyDescent="0.25">
      <c r="F801" s="10"/>
    </row>
    <row r="802" spans="6:6" x14ac:dyDescent="0.25">
      <c r="F802" s="10"/>
    </row>
    <row r="803" spans="6:6" x14ac:dyDescent="0.25">
      <c r="F803" s="10"/>
    </row>
    <row r="804" spans="6:6" x14ac:dyDescent="0.25">
      <c r="F804" s="10"/>
    </row>
    <row r="805" spans="6:6" x14ac:dyDescent="0.25">
      <c r="F805" s="10"/>
    </row>
    <row r="806" spans="6:6" x14ac:dyDescent="0.25">
      <c r="F806" s="10"/>
    </row>
    <row r="807" spans="6:6" x14ac:dyDescent="0.25">
      <c r="F807" s="10"/>
    </row>
    <row r="808" spans="6:6" x14ac:dyDescent="0.25">
      <c r="F808" s="10"/>
    </row>
    <row r="809" spans="6:6" x14ac:dyDescent="0.25">
      <c r="F809" s="10"/>
    </row>
    <row r="810" spans="6:6" x14ac:dyDescent="0.25">
      <c r="F810" s="10"/>
    </row>
    <row r="811" spans="6:6" x14ac:dyDescent="0.25">
      <c r="F811" s="10"/>
    </row>
    <row r="812" spans="6:6" x14ac:dyDescent="0.25">
      <c r="F812" s="10"/>
    </row>
    <row r="813" spans="6:6" x14ac:dyDescent="0.25">
      <c r="F813" s="10"/>
    </row>
    <row r="814" spans="6:6" x14ac:dyDescent="0.25">
      <c r="F814" s="10"/>
    </row>
    <row r="815" spans="6:6" x14ac:dyDescent="0.25">
      <c r="F815" s="10"/>
    </row>
    <row r="816" spans="6:6" x14ac:dyDescent="0.25">
      <c r="F816" s="10"/>
    </row>
    <row r="817" spans="6:6" x14ac:dyDescent="0.25">
      <c r="F817" s="10"/>
    </row>
    <row r="818" spans="6:6" x14ac:dyDescent="0.25">
      <c r="F818" s="10"/>
    </row>
    <row r="819" spans="6:6" x14ac:dyDescent="0.25">
      <c r="F819" s="10"/>
    </row>
    <row r="820" spans="6:6" x14ac:dyDescent="0.25">
      <c r="F820" s="10"/>
    </row>
    <row r="821" spans="6:6" x14ac:dyDescent="0.25">
      <c r="F821" s="10"/>
    </row>
    <row r="822" spans="6:6" x14ac:dyDescent="0.25">
      <c r="F822" s="10"/>
    </row>
    <row r="823" spans="6:6" x14ac:dyDescent="0.25">
      <c r="F823" s="10"/>
    </row>
    <row r="824" spans="6:6" x14ac:dyDescent="0.25">
      <c r="F824" s="10"/>
    </row>
    <row r="825" spans="6:6" x14ac:dyDescent="0.25">
      <c r="F825" s="10"/>
    </row>
    <row r="826" spans="6:6" x14ac:dyDescent="0.25">
      <c r="F826" s="10"/>
    </row>
    <row r="827" spans="6:6" x14ac:dyDescent="0.25">
      <c r="F827" s="10"/>
    </row>
    <row r="828" spans="6:6" x14ac:dyDescent="0.25">
      <c r="F828" s="10"/>
    </row>
    <row r="829" spans="6:6" x14ac:dyDescent="0.25">
      <c r="F829" s="10"/>
    </row>
    <row r="830" spans="6:6" x14ac:dyDescent="0.25">
      <c r="F830" s="10"/>
    </row>
    <row r="831" spans="6:6" x14ac:dyDescent="0.25">
      <c r="F831" s="10"/>
    </row>
    <row r="832" spans="6:6" x14ac:dyDescent="0.25">
      <c r="F832" s="10"/>
    </row>
    <row r="833" spans="6:6" x14ac:dyDescent="0.25">
      <c r="F833" s="10"/>
    </row>
    <row r="834" spans="6:6" x14ac:dyDescent="0.25">
      <c r="F834" s="10"/>
    </row>
    <row r="835" spans="6:6" x14ac:dyDescent="0.25">
      <c r="F835" s="10"/>
    </row>
    <row r="836" spans="6:6" x14ac:dyDescent="0.25">
      <c r="F836" s="10"/>
    </row>
    <row r="837" spans="6:6" x14ac:dyDescent="0.25">
      <c r="F837" s="10"/>
    </row>
    <row r="838" spans="6:6" x14ac:dyDescent="0.25">
      <c r="F838" s="10"/>
    </row>
    <row r="839" spans="6:6" x14ac:dyDescent="0.25">
      <c r="F839" s="10"/>
    </row>
    <row r="840" spans="6:6" x14ac:dyDescent="0.25">
      <c r="F840" s="10"/>
    </row>
    <row r="841" spans="6:6" x14ac:dyDescent="0.25">
      <c r="F841" s="10"/>
    </row>
    <row r="842" spans="6:6" x14ac:dyDescent="0.25">
      <c r="F842" s="10"/>
    </row>
    <row r="843" spans="6:6" x14ac:dyDescent="0.25">
      <c r="F843" s="10"/>
    </row>
    <row r="844" spans="6:6" x14ac:dyDescent="0.25">
      <c r="F844" s="10"/>
    </row>
    <row r="845" spans="6:6" x14ac:dyDescent="0.25">
      <c r="F845" s="10"/>
    </row>
    <row r="846" spans="6:6" x14ac:dyDescent="0.25">
      <c r="F846" s="10"/>
    </row>
    <row r="847" spans="6:6" x14ac:dyDescent="0.25">
      <c r="F847" s="10"/>
    </row>
    <row r="848" spans="6:6" x14ac:dyDescent="0.25">
      <c r="F848" s="10"/>
    </row>
    <row r="849" spans="6:6" x14ac:dyDescent="0.25">
      <c r="F849" s="10"/>
    </row>
    <row r="850" spans="6:6" x14ac:dyDescent="0.25">
      <c r="F850" s="10"/>
    </row>
    <row r="851" spans="6:6" x14ac:dyDescent="0.25">
      <c r="F851" s="10"/>
    </row>
    <row r="852" spans="6:6" x14ac:dyDescent="0.25">
      <c r="F852" s="10"/>
    </row>
    <row r="853" spans="6:6" x14ac:dyDescent="0.25">
      <c r="F853" s="10"/>
    </row>
    <row r="854" spans="6:6" x14ac:dyDescent="0.25">
      <c r="F854" s="10"/>
    </row>
    <row r="855" spans="6:6" x14ac:dyDescent="0.25">
      <c r="F855" s="10"/>
    </row>
    <row r="856" spans="6:6" x14ac:dyDescent="0.25">
      <c r="F856" s="10"/>
    </row>
    <row r="857" spans="6:6" x14ac:dyDescent="0.25">
      <c r="F857" s="10"/>
    </row>
    <row r="858" spans="6:6" x14ac:dyDescent="0.25">
      <c r="F858" s="10"/>
    </row>
    <row r="859" spans="6:6" x14ac:dyDescent="0.25">
      <c r="F859" s="10"/>
    </row>
    <row r="860" spans="6:6" x14ac:dyDescent="0.25">
      <c r="F860" s="10"/>
    </row>
    <row r="861" spans="6:6" x14ac:dyDescent="0.25">
      <c r="F861" s="10"/>
    </row>
    <row r="862" spans="6:6" x14ac:dyDescent="0.25">
      <c r="F862" s="10"/>
    </row>
    <row r="863" spans="6:6" x14ac:dyDescent="0.25">
      <c r="F863" s="10"/>
    </row>
    <row r="864" spans="6:6" x14ac:dyDescent="0.25">
      <c r="F864" s="10"/>
    </row>
    <row r="865" spans="6:6" x14ac:dyDescent="0.25">
      <c r="F865" s="10"/>
    </row>
    <row r="866" spans="6:6" x14ac:dyDescent="0.25">
      <c r="F866" s="10"/>
    </row>
    <row r="867" spans="6:6" x14ac:dyDescent="0.25">
      <c r="F867" s="10"/>
    </row>
    <row r="868" spans="6:6" x14ac:dyDescent="0.25">
      <c r="F868" s="10"/>
    </row>
    <row r="869" spans="6:6" x14ac:dyDescent="0.25">
      <c r="F869" s="10"/>
    </row>
    <row r="870" spans="6:6" x14ac:dyDescent="0.25">
      <c r="F870" s="10"/>
    </row>
    <row r="871" spans="6:6" x14ac:dyDescent="0.25">
      <c r="F871" s="10"/>
    </row>
    <row r="872" spans="6:6" x14ac:dyDescent="0.25">
      <c r="F872" s="10"/>
    </row>
    <row r="873" spans="6:6" x14ac:dyDescent="0.25">
      <c r="F873" s="10"/>
    </row>
    <row r="874" spans="6:6" x14ac:dyDescent="0.25">
      <c r="F874" s="10"/>
    </row>
    <row r="875" spans="6:6" x14ac:dyDescent="0.25">
      <c r="F875" s="10"/>
    </row>
    <row r="876" spans="6:6" x14ac:dyDescent="0.25">
      <c r="F876" s="10"/>
    </row>
    <row r="877" spans="6:6" x14ac:dyDescent="0.25">
      <c r="F877" s="10"/>
    </row>
    <row r="878" spans="6:6" x14ac:dyDescent="0.25">
      <c r="F878" s="10"/>
    </row>
    <row r="879" spans="6:6" x14ac:dyDescent="0.25">
      <c r="F879" s="10"/>
    </row>
    <row r="880" spans="6:6" x14ac:dyDescent="0.25">
      <c r="F880" s="10"/>
    </row>
    <row r="881" spans="6:6" x14ac:dyDescent="0.25">
      <c r="F881" s="10"/>
    </row>
    <row r="882" spans="6:6" x14ac:dyDescent="0.25">
      <c r="F882" s="10"/>
    </row>
    <row r="883" spans="6:6" x14ac:dyDescent="0.25">
      <c r="F883" s="10"/>
    </row>
    <row r="884" spans="6:6" x14ac:dyDescent="0.25">
      <c r="F884" s="10"/>
    </row>
    <row r="885" spans="6:6" x14ac:dyDescent="0.25">
      <c r="F885" s="10"/>
    </row>
    <row r="886" spans="6:6" x14ac:dyDescent="0.25">
      <c r="F886" s="10"/>
    </row>
    <row r="887" spans="6:6" x14ac:dyDescent="0.25">
      <c r="F887" s="10"/>
    </row>
    <row r="888" spans="6:6" x14ac:dyDescent="0.25">
      <c r="F888" s="10"/>
    </row>
    <row r="889" spans="6:6" x14ac:dyDescent="0.25">
      <c r="F889" s="10"/>
    </row>
    <row r="890" spans="6:6" x14ac:dyDescent="0.25">
      <c r="F890" s="10"/>
    </row>
    <row r="891" spans="6:6" x14ac:dyDescent="0.25">
      <c r="F891" s="10"/>
    </row>
    <row r="892" spans="6:6" x14ac:dyDescent="0.25">
      <c r="F892" s="10"/>
    </row>
    <row r="893" spans="6:6" x14ac:dyDescent="0.25">
      <c r="F893" s="10"/>
    </row>
    <row r="894" spans="6:6" x14ac:dyDescent="0.25">
      <c r="F894" s="10"/>
    </row>
    <row r="895" spans="6:6" x14ac:dyDescent="0.25">
      <c r="F895" s="10"/>
    </row>
    <row r="896" spans="6:6" x14ac:dyDescent="0.25">
      <c r="F896" s="10"/>
    </row>
    <row r="897" spans="6:6" x14ac:dyDescent="0.25">
      <c r="F897" s="10"/>
    </row>
    <row r="898" spans="6:6" x14ac:dyDescent="0.25">
      <c r="F898" s="10"/>
    </row>
    <row r="899" spans="6:6" x14ac:dyDescent="0.25">
      <c r="F899" s="10"/>
    </row>
    <row r="900" spans="6:6" x14ac:dyDescent="0.25">
      <c r="F900" s="10"/>
    </row>
    <row r="901" spans="6:6" x14ac:dyDescent="0.25">
      <c r="F901" s="10"/>
    </row>
    <row r="902" spans="6:6" x14ac:dyDescent="0.25">
      <c r="F902" s="10"/>
    </row>
    <row r="903" spans="6:6" x14ac:dyDescent="0.25">
      <c r="F903" s="10"/>
    </row>
    <row r="904" spans="6:6" x14ac:dyDescent="0.25">
      <c r="F904" s="10"/>
    </row>
    <row r="905" spans="6:6" x14ac:dyDescent="0.25">
      <c r="F905" s="10"/>
    </row>
    <row r="906" spans="6:6" x14ac:dyDescent="0.25">
      <c r="F906" s="10"/>
    </row>
    <row r="907" spans="6:6" x14ac:dyDescent="0.25">
      <c r="F907" s="10"/>
    </row>
    <row r="908" spans="6:6" x14ac:dyDescent="0.25">
      <c r="F908" s="10"/>
    </row>
    <row r="909" spans="6:6" x14ac:dyDescent="0.25">
      <c r="F909" s="10"/>
    </row>
    <row r="910" spans="6:6" x14ac:dyDescent="0.25">
      <c r="F910" s="10"/>
    </row>
    <row r="911" spans="6:6" x14ac:dyDescent="0.25">
      <c r="F911" s="10"/>
    </row>
    <row r="912" spans="6:6" x14ac:dyDescent="0.25">
      <c r="F912" s="10"/>
    </row>
    <row r="913" spans="6:6" x14ac:dyDescent="0.25">
      <c r="F913" s="10"/>
    </row>
    <row r="914" spans="6:6" x14ac:dyDescent="0.25">
      <c r="F914" s="10"/>
    </row>
    <row r="915" spans="6:6" x14ac:dyDescent="0.25">
      <c r="F915" s="10"/>
    </row>
    <row r="916" spans="6:6" x14ac:dyDescent="0.25">
      <c r="F916" s="10"/>
    </row>
    <row r="917" spans="6:6" x14ac:dyDescent="0.25">
      <c r="F917" s="10"/>
    </row>
    <row r="918" spans="6:6" x14ac:dyDescent="0.25">
      <c r="F918" s="10"/>
    </row>
    <row r="919" spans="6:6" x14ac:dyDescent="0.25">
      <c r="F919" s="10"/>
    </row>
    <row r="920" spans="6:6" x14ac:dyDescent="0.25">
      <c r="F920" s="10"/>
    </row>
    <row r="921" spans="6:6" x14ac:dyDescent="0.25">
      <c r="F921" s="10"/>
    </row>
    <row r="922" spans="6:6" x14ac:dyDescent="0.25">
      <c r="F922" s="10"/>
    </row>
    <row r="923" spans="6:6" x14ac:dyDescent="0.25">
      <c r="F923" s="10"/>
    </row>
    <row r="924" spans="6:6" x14ac:dyDescent="0.25">
      <c r="F924" s="10"/>
    </row>
    <row r="925" spans="6:6" x14ac:dyDescent="0.25">
      <c r="F925" s="10"/>
    </row>
    <row r="926" spans="6:6" x14ac:dyDescent="0.25">
      <c r="F926" s="10"/>
    </row>
    <row r="927" spans="6:6" x14ac:dyDescent="0.25">
      <c r="F927" s="10"/>
    </row>
    <row r="928" spans="6:6" x14ac:dyDescent="0.25">
      <c r="F928" s="10"/>
    </row>
    <row r="929" spans="6:6" x14ac:dyDescent="0.25">
      <c r="F929" s="10"/>
    </row>
    <row r="930" spans="6:6" x14ac:dyDescent="0.25">
      <c r="F930" s="10"/>
    </row>
    <row r="931" spans="6:6" x14ac:dyDescent="0.25">
      <c r="F931" s="10"/>
    </row>
    <row r="932" spans="6:6" x14ac:dyDescent="0.25">
      <c r="F932" s="10"/>
    </row>
    <row r="933" spans="6:6" x14ac:dyDescent="0.25">
      <c r="F933" s="10"/>
    </row>
    <row r="934" spans="6:6" x14ac:dyDescent="0.25">
      <c r="F934" s="10"/>
    </row>
    <row r="935" spans="6:6" x14ac:dyDescent="0.25">
      <c r="F935" s="10"/>
    </row>
    <row r="936" spans="6:6" x14ac:dyDescent="0.25">
      <c r="F936" s="10"/>
    </row>
    <row r="937" spans="6:6" x14ac:dyDescent="0.25">
      <c r="F937" s="10"/>
    </row>
    <row r="938" spans="6:6" x14ac:dyDescent="0.25">
      <c r="F938" s="10"/>
    </row>
    <row r="939" spans="6:6" x14ac:dyDescent="0.25">
      <c r="F939" s="10"/>
    </row>
    <row r="940" spans="6:6" x14ac:dyDescent="0.25">
      <c r="F940" s="10"/>
    </row>
    <row r="941" spans="6:6" x14ac:dyDescent="0.25">
      <c r="F941" s="10"/>
    </row>
    <row r="942" spans="6:6" x14ac:dyDescent="0.25">
      <c r="F942" s="10"/>
    </row>
    <row r="943" spans="6:6" x14ac:dyDescent="0.25">
      <c r="F943" s="10"/>
    </row>
    <row r="944" spans="6:6" x14ac:dyDescent="0.25">
      <c r="F944" s="10"/>
    </row>
    <row r="945" spans="6:6" x14ac:dyDescent="0.25">
      <c r="F945" s="10"/>
    </row>
    <row r="946" spans="6:6" x14ac:dyDescent="0.25">
      <c r="F946" s="10"/>
    </row>
    <row r="947" spans="6:6" x14ac:dyDescent="0.25">
      <c r="F947" s="10"/>
    </row>
    <row r="948" spans="6:6" x14ac:dyDescent="0.25">
      <c r="F948" s="10"/>
    </row>
    <row r="949" spans="6:6" x14ac:dyDescent="0.25">
      <c r="F949" s="10"/>
    </row>
    <row r="950" spans="6:6" x14ac:dyDescent="0.25">
      <c r="F950" s="10"/>
    </row>
    <row r="951" spans="6:6" x14ac:dyDescent="0.25">
      <c r="F951" s="10"/>
    </row>
    <row r="952" spans="6:6" x14ac:dyDescent="0.25">
      <c r="F952" s="10"/>
    </row>
    <row r="953" spans="6:6" x14ac:dyDescent="0.25">
      <c r="F953" s="10"/>
    </row>
    <row r="954" spans="6:6" x14ac:dyDescent="0.25">
      <c r="F954" s="10"/>
    </row>
    <row r="955" spans="6:6" x14ac:dyDescent="0.25">
      <c r="F955" s="10"/>
    </row>
    <row r="956" spans="6:6" x14ac:dyDescent="0.25">
      <c r="F956" s="10"/>
    </row>
    <row r="957" spans="6:6" x14ac:dyDescent="0.25">
      <c r="F957" s="10"/>
    </row>
    <row r="958" spans="6:6" x14ac:dyDescent="0.25">
      <c r="F958" s="10"/>
    </row>
    <row r="959" spans="6:6" x14ac:dyDescent="0.25">
      <c r="F959" s="10"/>
    </row>
    <row r="960" spans="6:6" x14ac:dyDescent="0.25">
      <c r="F960" s="10"/>
    </row>
    <row r="961" spans="6:6" x14ac:dyDescent="0.25">
      <c r="F961" s="10"/>
    </row>
    <row r="962" spans="6:6" x14ac:dyDescent="0.25">
      <c r="F962" s="10"/>
    </row>
    <row r="963" spans="6:6" x14ac:dyDescent="0.25">
      <c r="F963" s="10"/>
    </row>
    <row r="964" spans="6:6" x14ac:dyDescent="0.25">
      <c r="F964" s="10"/>
    </row>
    <row r="965" spans="6:6" x14ac:dyDescent="0.25">
      <c r="F965" s="10"/>
    </row>
    <row r="966" spans="6:6" x14ac:dyDescent="0.25">
      <c r="F966" s="10"/>
    </row>
    <row r="967" spans="6:6" x14ac:dyDescent="0.25">
      <c r="F967" s="10"/>
    </row>
    <row r="968" spans="6:6" x14ac:dyDescent="0.25">
      <c r="F968" s="10"/>
    </row>
    <row r="969" spans="6:6" x14ac:dyDescent="0.25">
      <c r="F969" s="10"/>
    </row>
    <row r="970" spans="6:6" x14ac:dyDescent="0.25">
      <c r="F970" s="10"/>
    </row>
    <row r="971" spans="6:6" x14ac:dyDescent="0.25">
      <c r="F971" s="10"/>
    </row>
    <row r="972" spans="6:6" x14ac:dyDescent="0.25">
      <c r="F972" s="10"/>
    </row>
    <row r="973" spans="6:6" x14ac:dyDescent="0.25">
      <c r="F973" s="10"/>
    </row>
    <row r="974" spans="6:6" x14ac:dyDescent="0.25">
      <c r="F974" s="10"/>
    </row>
    <row r="975" spans="6:6" x14ac:dyDescent="0.25">
      <c r="F975" s="10"/>
    </row>
    <row r="976" spans="6:6" x14ac:dyDescent="0.25">
      <c r="F976" s="10"/>
    </row>
    <row r="977" spans="6:6" x14ac:dyDescent="0.25">
      <c r="F977" s="10"/>
    </row>
    <row r="978" spans="6:6" x14ac:dyDescent="0.25">
      <c r="F978" s="10"/>
    </row>
    <row r="979" spans="6:6" x14ac:dyDescent="0.25">
      <c r="F979" s="10"/>
    </row>
    <row r="980" spans="6:6" x14ac:dyDescent="0.25">
      <c r="F980" s="10"/>
    </row>
    <row r="981" spans="6:6" x14ac:dyDescent="0.25">
      <c r="F981" s="10"/>
    </row>
    <row r="982" spans="6:6" x14ac:dyDescent="0.25">
      <c r="F982" s="10"/>
    </row>
    <row r="983" spans="6:6" x14ac:dyDescent="0.25">
      <c r="F983" s="10"/>
    </row>
    <row r="984" spans="6:6" x14ac:dyDescent="0.25">
      <c r="F984" s="10"/>
    </row>
    <row r="985" spans="6:6" x14ac:dyDescent="0.25">
      <c r="F985" s="10"/>
    </row>
    <row r="986" spans="6:6" x14ac:dyDescent="0.25">
      <c r="F986" s="10"/>
    </row>
    <row r="987" spans="6:6" x14ac:dyDescent="0.25">
      <c r="F987" s="10"/>
    </row>
    <row r="988" spans="6:6" x14ac:dyDescent="0.25">
      <c r="F988" s="10"/>
    </row>
    <row r="989" spans="6:6" x14ac:dyDescent="0.25">
      <c r="F989" s="10"/>
    </row>
    <row r="990" spans="6:6" x14ac:dyDescent="0.25">
      <c r="F990" s="10"/>
    </row>
    <row r="991" spans="6:6" x14ac:dyDescent="0.25">
      <c r="F991" s="10"/>
    </row>
    <row r="992" spans="6:6" x14ac:dyDescent="0.25">
      <c r="F992" s="10"/>
    </row>
    <row r="993" spans="6:6" x14ac:dyDescent="0.25">
      <c r="F993" s="10"/>
    </row>
    <row r="994" spans="6:6" x14ac:dyDescent="0.25">
      <c r="F994" s="10"/>
    </row>
    <row r="995" spans="6:6" x14ac:dyDescent="0.25">
      <c r="F995" s="10"/>
    </row>
    <row r="996" spans="6:6" x14ac:dyDescent="0.25">
      <c r="F996" s="10"/>
    </row>
    <row r="997" spans="6:6" x14ac:dyDescent="0.25">
      <c r="F997" s="10"/>
    </row>
    <row r="998" spans="6:6" x14ac:dyDescent="0.25">
      <c r="F998" s="10"/>
    </row>
    <row r="999" spans="6:6" x14ac:dyDescent="0.25">
      <c r="F999" s="10"/>
    </row>
    <row r="1000" spans="6:6" x14ac:dyDescent="0.25">
      <c r="F1000" s="10"/>
    </row>
    <row r="1001" spans="6:6" x14ac:dyDescent="0.25">
      <c r="F1001" s="10"/>
    </row>
    <row r="1002" spans="6:6" x14ac:dyDescent="0.25">
      <c r="F1002" s="10"/>
    </row>
    <row r="1003" spans="6:6" x14ac:dyDescent="0.25">
      <c r="F1003" s="10"/>
    </row>
    <row r="1004" spans="6:6" x14ac:dyDescent="0.25">
      <c r="F1004" s="10"/>
    </row>
    <row r="1005" spans="6:6" x14ac:dyDescent="0.25">
      <c r="F1005" s="10"/>
    </row>
    <row r="1006" spans="6:6" x14ac:dyDescent="0.25">
      <c r="F1006" s="10"/>
    </row>
    <row r="1007" spans="6:6" x14ac:dyDescent="0.25">
      <c r="F1007" s="10"/>
    </row>
    <row r="1008" spans="6:6" x14ac:dyDescent="0.25">
      <c r="F1008" s="10"/>
    </row>
    <row r="1009" spans="6:6" x14ac:dyDescent="0.25">
      <c r="F1009" s="10"/>
    </row>
    <row r="1010" spans="6:6" x14ac:dyDescent="0.25">
      <c r="F1010" s="10"/>
    </row>
    <row r="1011" spans="6:6" x14ac:dyDescent="0.25">
      <c r="F1011" s="10"/>
    </row>
    <row r="1012" spans="6:6" x14ac:dyDescent="0.25">
      <c r="F1012" s="10"/>
    </row>
    <row r="1013" spans="6:6" x14ac:dyDescent="0.25">
      <c r="F1013" s="10"/>
    </row>
    <row r="1014" spans="6:6" x14ac:dyDescent="0.25">
      <c r="F1014" s="10"/>
    </row>
    <row r="1015" spans="6:6" x14ac:dyDescent="0.25">
      <c r="F1015" s="10"/>
    </row>
    <row r="1016" spans="6:6" x14ac:dyDescent="0.25">
      <c r="F1016" s="10"/>
    </row>
    <row r="1017" spans="6:6" x14ac:dyDescent="0.25">
      <c r="F1017" s="10"/>
    </row>
    <row r="1018" spans="6:6" x14ac:dyDescent="0.25">
      <c r="F1018" s="10"/>
    </row>
    <row r="1019" spans="6:6" x14ac:dyDescent="0.25">
      <c r="F1019" s="10"/>
    </row>
    <row r="1020" spans="6:6" x14ac:dyDescent="0.25">
      <c r="F1020" s="10"/>
    </row>
    <row r="1021" spans="6:6" x14ac:dyDescent="0.25">
      <c r="F1021" s="10"/>
    </row>
    <row r="1022" spans="6:6" x14ac:dyDescent="0.25">
      <c r="F1022" s="10"/>
    </row>
    <row r="1023" spans="6:6" x14ac:dyDescent="0.25">
      <c r="F1023" s="10"/>
    </row>
    <row r="1024" spans="6:6" x14ac:dyDescent="0.25">
      <c r="F1024" s="10"/>
    </row>
    <row r="1025" spans="6:6" x14ac:dyDescent="0.25">
      <c r="F1025" s="10"/>
    </row>
    <row r="1026" spans="6:6" x14ac:dyDescent="0.25">
      <c r="F1026" s="10"/>
    </row>
    <row r="1027" spans="6:6" x14ac:dyDescent="0.25">
      <c r="F1027" s="10"/>
    </row>
    <row r="1028" spans="6:6" x14ac:dyDescent="0.25">
      <c r="F1028" s="10"/>
    </row>
    <row r="1029" spans="6:6" x14ac:dyDescent="0.25">
      <c r="F1029" s="10"/>
    </row>
    <row r="1030" spans="6:6" x14ac:dyDescent="0.25">
      <c r="F1030" s="10"/>
    </row>
    <row r="1031" spans="6:6" x14ac:dyDescent="0.25">
      <c r="F1031" s="10"/>
    </row>
    <row r="1032" spans="6:6" x14ac:dyDescent="0.25">
      <c r="F1032" s="10"/>
    </row>
    <row r="1033" spans="6:6" x14ac:dyDescent="0.25">
      <c r="F1033" s="10"/>
    </row>
    <row r="1034" spans="6:6" x14ac:dyDescent="0.25">
      <c r="F1034" s="10"/>
    </row>
    <row r="1035" spans="6:6" x14ac:dyDescent="0.25">
      <c r="F1035" s="10"/>
    </row>
    <row r="1036" spans="6:6" x14ac:dyDescent="0.25">
      <c r="F1036" s="10"/>
    </row>
    <row r="1037" spans="6:6" x14ac:dyDescent="0.25">
      <c r="F1037" s="10"/>
    </row>
    <row r="1038" spans="6:6" x14ac:dyDescent="0.25">
      <c r="F1038" s="10"/>
    </row>
    <row r="1039" spans="6:6" x14ac:dyDescent="0.25">
      <c r="F1039" s="10"/>
    </row>
    <row r="1040" spans="6:6" x14ac:dyDescent="0.25">
      <c r="F1040" s="10"/>
    </row>
    <row r="1041" spans="6:6" x14ac:dyDescent="0.25">
      <c r="F1041" s="10"/>
    </row>
    <row r="1042" spans="6:6" x14ac:dyDescent="0.25">
      <c r="F1042" s="10"/>
    </row>
    <row r="1043" spans="6:6" x14ac:dyDescent="0.25">
      <c r="F1043" s="10"/>
    </row>
    <row r="1044" spans="6:6" x14ac:dyDescent="0.25">
      <c r="F1044" s="10"/>
    </row>
    <row r="1045" spans="6:6" x14ac:dyDescent="0.25">
      <c r="F1045" s="10"/>
    </row>
    <row r="1046" spans="6:6" x14ac:dyDescent="0.25">
      <c r="F1046" s="10"/>
    </row>
    <row r="1047" spans="6:6" x14ac:dyDescent="0.25">
      <c r="F1047" s="10"/>
    </row>
    <row r="1048" spans="6:6" x14ac:dyDescent="0.25">
      <c r="F1048" s="10"/>
    </row>
    <row r="1049" spans="6:6" x14ac:dyDescent="0.25">
      <c r="F1049" s="10"/>
    </row>
    <row r="1050" spans="6:6" x14ac:dyDescent="0.25">
      <c r="F1050" s="10"/>
    </row>
    <row r="1051" spans="6:6" x14ac:dyDescent="0.25">
      <c r="F1051" s="10"/>
    </row>
    <row r="1052" spans="6:6" x14ac:dyDescent="0.25">
      <c r="F1052" s="10"/>
    </row>
    <row r="1053" spans="6:6" x14ac:dyDescent="0.25">
      <c r="F1053" s="10"/>
    </row>
    <row r="1054" spans="6:6" x14ac:dyDescent="0.25">
      <c r="F1054" s="10"/>
    </row>
    <row r="1055" spans="6:6" x14ac:dyDescent="0.25">
      <c r="F1055" s="10"/>
    </row>
    <row r="1056" spans="6:6" x14ac:dyDescent="0.25">
      <c r="F1056" s="10"/>
    </row>
    <row r="1057" spans="6:6" x14ac:dyDescent="0.25">
      <c r="F1057" s="10"/>
    </row>
    <row r="1058" spans="6:6" x14ac:dyDescent="0.25">
      <c r="F1058" s="10"/>
    </row>
    <row r="1059" spans="6:6" x14ac:dyDescent="0.25">
      <c r="F1059" s="10"/>
    </row>
    <row r="1060" spans="6:6" x14ac:dyDescent="0.25">
      <c r="F1060" s="10"/>
    </row>
    <row r="1061" spans="6:6" x14ac:dyDescent="0.25">
      <c r="F1061" s="10"/>
    </row>
    <row r="1062" spans="6:6" x14ac:dyDescent="0.25">
      <c r="F1062" s="10"/>
    </row>
    <row r="1063" spans="6:6" x14ac:dyDescent="0.25">
      <c r="F1063" s="10"/>
    </row>
    <row r="1064" spans="6:6" x14ac:dyDescent="0.25">
      <c r="F1064" s="10"/>
    </row>
    <row r="1065" spans="6:6" x14ac:dyDescent="0.25">
      <c r="F1065" s="10"/>
    </row>
    <row r="1066" spans="6:6" x14ac:dyDescent="0.25">
      <c r="F1066" s="10"/>
    </row>
    <row r="1067" spans="6:6" x14ac:dyDescent="0.25">
      <c r="F1067" s="10"/>
    </row>
    <row r="1068" spans="6:6" x14ac:dyDescent="0.25">
      <c r="F1068" s="10"/>
    </row>
    <row r="1069" spans="6:6" x14ac:dyDescent="0.25">
      <c r="F1069" s="10"/>
    </row>
    <row r="1070" spans="6:6" x14ac:dyDescent="0.25">
      <c r="F1070" s="10"/>
    </row>
    <row r="1071" spans="6:6" x14ac:dyDescent="0.25">
      <c r="F1071" s="10"/>
    </row>
    <row r="1072" spans="6:6" x14ac:dyDescent="0.25">
      <c r="F1072" s="10"/>
    </row>
    <row r="1073" spans="6:6" x14ac:dyDescent="0.25">
      <c r="F1073" s="10"/>
    </row>
    <row r="1074" spans="6:6" x14ac:dyDescent="0.25">
      <c r="F1074" s="10"/>
    </row>
    <row r="1075" spans="6:6" x14ac:dyDescent="0.25">
      <c r="F1075" s="10"/>
    </row>
    <row r="1076" spans="6:6" x14ac:dyDescent="0.25">
      <c r="F1076" s="10"/>
    </row>
    <row r="1077" spans="6:6" x14ac:dyDescent="0.25">
      <c r="F1077" s="10"/>
    </row>
    <row r="1078" spans="6:6" x14ac:dyDescent="0.25">
      <c r="F1078" s="10"/>
    </row>
    <row r="1079" spans="6:6" x14ac:dyDescent="0.25">
      <c r="F1079" s="10"/>
    </row>
    <row r="1080" spans="6:6" x14ac:dyDescent="0.25">
      <c r="F1080" s="10"/>
    </row>
    <row r="1081" spans="6:6" x14ac:dyDescent="0.25">
      <c r="F1081" s="10"/>
    </row>
    <row r="1082" spans="6:6" x14ac:dyDescent="0.25">
      <c r="F1082" s="10"/>
    </row>
    <row r="1083" spans="6:6" x14ac:dyDescent="0.25">
      <c r="F1083" s="10"/>
    </row>
    <row r="1084" spans="6:6" x14ac:dyDescent="0.25">
      <c r="F1084" s="10"/>
    </row>
    <row r="1085" spans="6:6" x14ac:dyDescent="0.25">
      <c r="F1085" s="10"/>
    </row>
    <row r="1086" spans="6:6" x14ac:dyDescent="0.25">
      <c r="F1086" s="10"/>
    </row>
    <row r="1087" spans="6:6" x14ac:dyDescent="0.25">
      <c r="F1087" s="10"/>
    </row>
    <row r="1088" spans="6:6" x14ac:dyDescent="0.25">
      <c r="F1088" s="10"/>
    </row>
    <row r="1089" spans="6:6" x14ac:dyDescent="0.25">
      <c r="F1089" s="10"/>
    </row>
    <row r="1090" spans="6:6" x14ac:dyDescent="0.25">
      <c r="F1090" s="10"/>
    </row>
    <row r="1091" spans="6:6" x14ac:dyDescent="0.25">
      <c r="F1091" s="10"/>
    </row>
    <row r="1092" spans="6:6" x14ac:dyDescent="0.25">
      <c r="F1092" s="10"/>
    </row>
    <row r="1093" spans="6:6" x14ac:dyDescent="0.25">
      <c r="F1093" s="10"/>
    </row>
    <row r="1094" spans="6:6" x14ac:dyDescent="0.25">
      <c r="F1094" s="10"/>
    </row>
    <row r="1095" spans="6:6" x14ac:dyDescent="0.25">
      <c r="F1095" s="10"/>
    </row>
    <row r="1096" spans="6:6" x14ac:dyDescent="0.25">
      <c r="F1096" s="10"/>
    </row>
    <row r="1097" spans="6:6" x14ac:dyDescent="0.25">
      <c r="F1097" s="10"/>
    </row>
    <row r="1098" spans="6:6" x14ac:dyDescent="0.25">
      <c r="F1098" s="10"/>
    </row>
    <row r="1099" spans="6:6" x14ac:dyDescent="0.25">
      <c r="F1099" s="10"/>
    </row>
    <row r="1100" spans="6:6" x14ac:dyDescent="0.25">
      <c r="F1100" s="10"/>
    </row>
    <row r="1101" spans="6:6" x14ac:dyDescent="0.25">
      <c r="F1101" s="10"/>
    </row>
    <row r="1102" spans="6:6" x14ac:dyDescent="0.25">
      <c r="F1102" s="10"/>
    </row>
    <row r="1103" spans="6:6" x14ac:dyDescent="0.25">
      <c r="F1103" s="10"/>
    </row>
    <row r="1104" spans="6:6" x14ac:dyDescent="0.25">
      <c r="F1104" s="10"/>
    </row>
    <row r="1105" spans="6:6" x14ac:dyDescent="0.25">
      <c r="F1105" s="10"/>
    </row>
    <row r="1106" spans="6:6" x14ac:dyDescent="0.25">
      <c r="F1106" s="10"/>
    </row>
    <row r="1107" spans="6:6" x14ac:dyDescent="0.25">
      <c r="F1107" s="10"/>
    </row>
    <row r="1108" spans="6:6" x14ac:dyDescent="0.25">
      <c r="F1108" s="10"/>
    </row>
    <row r="1109" spans="6:6" x14ac:dyDescent="0.25">
      <c r="F1109" s="10"/>
    </row>
    <row r="1110" spans="6:6" x14ac:dyDescent="0.25">
      <c r="F1110" s="10"/>
    </row>
    <row r="1111" spans="6:6" x14ac:dyDescent="0.25">
      <c r="F1111" s="10"/>
    </row>
    <row r="1112" spans="6:6" x14ac:dyDescent="0.25">
      <c r="F1112" s="10"/>
    </row>
    <row r="1113" spans="6:6" x14ac:dyDescent="0.25">
      <c r="F1113" s="10"/>
    </row>
    <row r="1114" spans="6:6" x14ac:dyDescent="0.25">
      <c r="F1114" s="10"/>
    </row>
    <row r="1115" spans="6:6" x14ac:dyDescent="0.25">
      <c r="F1115" s="10"/>
    </row>
    <row r="1116" spans="6:6" x14ac:dyDescent="0.25">
      <c r="F1116" s="10"/>
    </row>
    <row r="1117" spans="6:6" x14ac:dyDescent="0.25">
      <c r="F1117" s="10"/>
    </row>
    <row r="1118" spans="6:6" x14ac:dyDescent="0.25">
      <c r="F1118" s="10"/>
    </row>
    <row r="1119" spans="6:6" x14ac:dyDescent="0.25">
      <c r="F1119" s="10"/>
    </row>
    <row r="1120" spans="6:6" x14ac:dyDescent="0.25">
      <c r="F1120" s="10"/>
    </row>
    <row r="1121" spans="6:6" x14ac:dyDescent="0.25">
      <c r="F1121" s="10"/>
    </row>
    <row r="1122" spans="6:6" x14ac:dyDescent="0.25">
      <c r="F1122" s="10"/>
    </row>
    <row r="1123" spans="6:6" x14ac:dyDescent="0.25">
      <c r="F1123" s="10"/>
    </row>
    <row r="1124" spans="6:6" x14ac:dyDescent="0.25">
      <c r="F1124" s="10"/>
    </row>
    <row r="1125" spans="6:6" x14ac:dyDescent="0.25">
      <c r="F1125" s="10"/>
    </row>
    <row r="1126" spans="6:6" x14ac:dyDescent="0.25">
      <c r="F1126" s="10"/>
    </row>
    <row r="1127" spans="6:6" x14ac:dyDescent="0.25">
      <c r="F1127" s="10"/>
    </row>
    <row r="1128" spans="6:6" x14ac:dyDescent="0.25">
      <c r="F1128" s="10"/>
    </row>
    <row r="1129" spans="6:6" x14ac:dyDescent="0.25">
      <c r="F1129" s="10"/>
    </row>
    <row r="1130" spans="6:6" x14ac:dyDescent="0.25">
      <c r="F1130" s="10"/>
    </row>
    <row r="1131" spans="6:6" x14ac:dyDescent="0.25">
      <c r="F1131" s="10"/>
    </row>
    <row r="1132" spans="6:6" x14ac:dyDescent="0.25">
      <c r="F1132" s="10"/>
    </row>
    <row r="1133" spans="6:6" x14ac:dyDescent="0.25">
      <c r="F1133" s="10"/>
    </row>
    <row r="1134" spans="6:6" x14ac:dyDescent="0.25">
      <c r="F1134" s="10"/>
    </row>
    <row r="1135" spans="6:6" x14ac:dyDescent="0.25">
      <c r="F1135" s="10"/>
    </row>
    <row r="1136" spans="6:6" x14ac:dyDescent="0.25">
      <c r="F1136" s="10"/>
    </row>
    <row r="1137" spans="6:6" x14ac:dyDescent="0.25">
      <c r="F1137" s="10"/>
    </row>
    <row r="1138" spans="6:6" x14ac:dyDescent="0.25">
      <c r="F1138" s="10"/>
    </row>
    <row r="1139" spans="6:6" x14ac:dyDescent="0.25">
      <c r="F1139" s="10"/>
    </row>
    <row r="1140" spans="6:6" x14ac:dyDescent="0.25">
      <c r="F1140" s="10"/>
    </row>
    <row r="1141" spans="6:6" x14ac:dyDescent="0.25">
      <c r="F1141" s="10"/>
    </row>
    <row r="1142" spans="6:6" x14ac:dyDescent="0.25">
      <c r="F1142" s="10"/>
    </row>
    <row r="1143" spans="6:6" x14ac:dyDescent="0.25">
      <c r="F1143" s="10"/>
    </row>
    <row r="1144" spans="6:6" x14ac:dyDescent="0.25">
      <c r="F1144" s="10"/>
    </row>
    <row r="1145" spans="6:6" x14ac:dyDescent="0.25">
      <c r="F1145" s="10"/>
    </row>
    <row r="1146" spans="6:6" x14ac:dyDescent="0.25">
      <c r="F1146" s="10"/>
    </row>
    <row r="1147" spans="6:6" x14ac:dyDescent="0.25">
      <c r="F1147" s="10"/>
    </row>
    <row r="1148" spans="6:6" x14ac:dyDescent="0.25">
      <c r="F1148" s="10"/>
    </row>
    <row r="1149" spans="6:6" x14ac:dyDescent="0.25">
      <c r="F1149" s="10"/>
    </row>
    <row r="1150" spans="6:6" x14ac:dyDescent="0.25">
      <c r="F1150" s="10"/>
    </row>
    <row r="1151" spans="6:6" x14ac:dyDescent="0.25">
      <c r="F1151" s="10"/>
    </row>
    <row r="1152" spans="6:6" x14ac:dyDescent="0.25">
      <c r="F1152" s="10"/>
    </row>
    <row r="1153" spans="6:6" x14ac:dyDescent="0.25">
      <c r="F1153" s="10"/>
    </row>
    <row r="1154" spans="6:6" x14ac:dyDescent="0.25">
      <c r="F1154" s="10"/>
    </row>
    <row r="1155" spans="6:6" x14ac:dyDescent="0.25">
      <c r="F1155" s="10"/>
    </row>
    <row r="1156" spans="6:6" x14ac:dyDescent="0.25">
      <c r="F1156" s="10"/>
    </row>
    <row r="1157" spans="6:6" x14ac:dyDescent="0.25">
      <c r="F1157" s="10"/>
    </row>
    <row r="1158" spans="6:6" x14ac:dyDescent="0.25">
      <c r="F1158" s="10"/>
    </row>
    <row r="1159" spans="6:6" x14ac:dyDescent="0.25">
      <c r="F1159" s="10"/>
    </row>
    <row r="1160" spans="6:6" x14ac:dyDescent="0.25">
      <c r="F1160" s="10"/>
    </row>
    <row r="1161" spans="6:6" x14ac:dyDescent="0.25">
      <c r="F1161" s="10"/>
    </row>
    <row r="1162" spans="6:6" x14ac:dyDescent="0.25">
      <c r="F1162" s="10"/>
    </row>
    <row r="1163" spans="6:6" x14ac:dyDescent="0.25">
      <c r="F1163" s="10"/>
    </row>
    <row r="1164" spans="6:6" x14ac:dyDescent="0.25">
      <c r="F1164" s="10"/>
    </row>
    <row r="1165" spans="6:6" x14ac:dyDescent="0.25">
      <c r="F1165" s="10"/>
    </row>
    <row r="1166" spans="6:6" x14ac:dyDescent="0.25">
      <c r="F1166" s="10"/>
    </row>
    <row r="1167" spans="6:6" x14ac:dyDescent="0.25">
      <c r="F1167" s="10"/>
    </row>
    <row r="1168" spans="6:6" x14ac:dyDescent="0.25">
      <c r="F1168" s="10"/>
    </row>
    <row r="1169" spans="6:6" x14ac:dyDescent="0.25">
      <c r="F1169" s="10"/>
    </row>
    <row r="1170" spans="6:6" x14ac:dyDescent="0.25">
      <c r="F1170" s="10"/>
    </row>
    <row r="1171" spans="6:6" x14ac:dyDescent="0.25">
      <c r="F1171" s="10"/>
    </row>
    <row r="1172" spans="6:6" x14ac:dyDescent="0.25">
      <c r="F1172" s="10"/>
    </row>
    <row r="1173" spans="6:6" x14ac:dyDescent="0.25">
      <c r="F1173" s="10"/>
    </row>
    <row r="1174" spans="6:6" x14ac:dyDescent="0.25">
      <c r="F1174" s="10"/>
    </row>
    <row r="1175" spans="6:6" x14ac:dyDescent="0.25">
      <c r="F1175" s="10"/>
    </row>
    <row r="1176" spans="6:6" x14ac:dyDescent="0.25">
      <c r="F1176" s="10"/>
    </row>
    <row r="1177" spans="6:6" x14ac:dyDescent="0.25">
      <c r="F1177" s="10"/>
    </row>
    <row r="1178" spans="6:6" x14ac:dyDescent="0.25">
      <c r="F1178" s="10"/>
    </row>
    <row r="1179" spans="6:6" x14ac:dyDescent="0.25">
      <c r="F1179" s="10"/>
    </row>
    <row r="1180" spans="6:6" x14ac:dyDescent="0.25">
      <c r="F1180" s="10"/>
    </row>
    <row r="1181" spans="6:6" x14ac:dyDescent="0.25">
      <c r="F1181" s="10"/>
    </row>
    <row r="1182" spans="6:6" x14ac:dyDescent="0.25">
      <c r="F1182" s="10"/>
    </row>
    <row r="1183" spans="6:6" x14ac:dyDescent="0.25">
      <c r="F1183" s="10"/>
    </row>
    <row r="1184" spans="6:6" x14ac:dyDescent="0.25">
      <c r="F1184" s="10"/>
    </row>
    <row r="1185" spans="6:6" x14ac:dyDescent="0.25">
      <c r="F1185" s="10"/>
    </row>
    <row r="1186" spans="6:6" x14ac:dyDescent="0.25">
      <c r="F1186" s="10"/>
    </row>
    <row r="1187" spans="6:6" x14ac:dyDescent="0.25">
      <c r="F1187" s="10"/>
    </row>
    <row r="1188" spans="6:6" x14ac:dyDescent="0.25">
      <c r="F1188" s="10"/>
    </row>
    <row r="1189" spans="6:6" x14ac:dyDescent="0.25">
      <c r="F1189" s="10"/>
    </row>
    <row r="1190" spans="6:6" x14ac:dyDescent="0.25">
      <c r="F1190" s="10"/>
    </row>
    <row r="1191" spans="6:6" x14ac:dyDescent="0.25">
      <c r="F1191" s="10"/>
    </row>
    <row r="1192" spans="6:6" x14ac:dyDescent="0.25">
      <c r="F1192" s="10"/>
    </row>
    <row r="1193" spans="6:6" x14ac:dyDescent="0.25">
      <c r="F1193" s="10"/>
    </row>
    <row r="1194" spans="6:6" x14ac:dyDescent="0.25">
      <c r="F1194" s="10"/>
    </row>
    <row r="1195" spans="6:6" x14ac:dyDescent="0.25">
      <c r="F1195" s="10"/>
    </row>
    <row r="1196" spans="6:6" x14ac:dyDescent="0.25">
      <c r="F1196" s="10"/>
    </row>
    <row r="1197" spans="6:6" x14ac:dyDescent="0.25">
      <c r="F1197" s="10"/>
    </row>
    <row r="1198" spans="6:6" x14ac:dyDescent="0.25">
      <c r="F1198" s="10"/>
    </row>
    <row r="1199" spans="6:6" x14ac:dyDescent="0.25">
      <c r="F1199" s="10"/>
    </row>
    <row r="1200" spans="6:6" x14ac:dyDescent="0.25">
      <c r="F1200" s="10"/>
    </row>
    <row r="1201" spans="6:6" x14ac:dyDescent="0.25">
      <c r="F1201" s="10"/>
    </row>
    <row r="1202" spans="6:6" x14ac:dyDescent="0.25">
      <c r="F1202" s="10"/>
    </row>
    <row r="1203" spans="6:6" x14ac:dyDescent="0.25">
      <c r="F1203" s="10"/>
    </row>
    <row r="1204" spans="6:6" x14ac:dyDescent="0.25">
      <c r="F1204" s="10"/>
    </row>
    <row r="1205" spans="6:6" x14ac:dyDescent="0.25">
      <c r="F1205" s="10"/>
    </row>
    <row r="1206" spans="6:6" x14ac:dyDescent="0.25">
      <c r="F1206" s="10"/>
    </row>
    <row r="1207" spans="6:6" x14ac:dyDescent="0.25">
      <c r="F1207" s="10"/>
    </row>
    <row r="1208" spans="6:6" x14ac:dyDescent="0.25">
      <c r="F1208" s="10"/>
    </row>
    <row r="1209" spans="6:6" x14ac:dyDescent="0.25">
      <c r="F1209" s="10"/>
    </row>
    <row r="1210" spans="6:6" x14ac:dyDescent="0.25">
      <c r="F1210" s="10"/>
    </row>
    <row r="1211" spans="6:6" x14ac:dyDescent="0.25">
      <c r="F1211" s="10"/>
    </row>
    <row r="1212" spans="6:6" x14ac:dyDescent="0.25">
      <c r="F1212" s="10"/>
    </row>
    <row r="1213" spans="6:6" x14ac:dyDescent="0.25">
      <c r="F1213" s="10"/>
    </row>
    <row r="1214" spans="6:6" x14ac:dyDescent="0.25">
      <c r="F1214" s="10"/>
    </row>
    <row r="1215" spans="6:6" x14ac:dyDescent="0.25">
      <c r="F1215" s="10"/>
    </row>
    <row r="1216" spans="6:6" x14ac:dyDescent="0.25">
      <c r="F1216" s="10"/>
    </row>
    <row r="1217" spans="6:6" x14ac:dyDescent="0.25">
      <c r="F1217" s="10"/>
    </row>
    <row r="1218" spans="6:6" x14ac:dyDescent="0.25">
      <c r="F1218" s="10"/>
    </row>
    <row r="1219" spans="6:6" x14ac:dyDescent="0.25">
      <c r="F1219" s="10"/>
    </row>
    <row r="1220" spans="6:6" x14ac:dyDescent="0.25">
      <c r="F1220" s="10"/>
    </row>
    <row r="1221" spans="6:6" x14ac:dyDescent="0.25">
      <c r="F1221" s="10"/>
    </row>
    <row r="1222" spans="6:6" x14ac:dyDescent="0.25">
      <c r="F1222" s="10"/>
    </row>
    <row r="1223" spans="6:6" x14ac:dyDescent="0.25">
      <c r="F1223" s="10"/>
    </row>
    <row r="1224" spans="6:6" x14ac:dyDescent="0.25">
      <c r="F1224" s="10"/>
    </row>
    <row r="1225" spans="6:6" x14ac:dyDescent="0.25">
      <c r="F1225" s="10"/>
    </row>
    <row r="1226" spans="6:6" x14ac:dyDescent="0.25">
      <c r="F1226" s="10"/>
    </row>
    <row r="1227" spans="6:6" x14ac:dyDescent="0.25">
      <c r="F1227" s="10"/>
    </row>
    <row r="1228" spans="6:6" x14ac:dyDescent="0.25">
      <c r="F1228" s="10"/>
    </row>
    <row r="1229" spans="6:6" x14ac:dyDescent="0.25">
      <c r="F1229" s="10"/>
    </row>
    <row r="1230" spans="6:6" x14ac:dyDescent="0.25">
      <c r="F1230" s="10"/>
    </row>
    <row r="1231" spans="6:6" x14ac:dyDescent="0.25">
      <c r="F1231" s="10"/>
    </row>
    <row r="1232" spans="6:6" x14ac:dyDescent="0.25">
      <c r="F1232" s="10"/>
    </row>
    <row r="1233" spans="6:6" x14ac:dyDescent="0.25">
      <c r="F1233" s="10"/>
    </row>
    <row r="1234" spans="6:6" x14ac:dyDescent="0.25">
      <c r="F1234" s="10"/>
    </row>
    <row r="1235" spans="6:6" x14ac:dyDescent="0.25">
      <c r="F1235" s="10"/>
    </row>
    <row r="1236" spans="6:6" x14ac:dyDescent="0.25">
      <c r="F1236" s="10"/>
    </row>
    <row r="1237" spans="6:6" x14ac:dyDescent="0.25">
      <c r="F1237" s="10"/>
    </row>
    <row r="1238" spans="6:6" x14ac:dyDescent="0.25">
      <c r="F1238" s="10"/>
    </row>
    <row r="1239" spans="6:6" x14ac:dyDescent="0.25">
      <c r="F1239" s="10"/>
    </row>
    <row r="1240" spans="6:6" x14ac:dyDescent="0.25">
      <c r="F1240" s="10"/>
    </row>
    <row r="1241" spans="6:6" x14ac:dyDescent="0.25">
      <c r="F1241" s="10"/>
    </row>
    <row r="1242" spans="6:6" x14ac:dyDescent="0.25">
      <c r="F1242" s="10"/>
    </row>
    <row r="1243" spans="6:6" x14ac:dyDescent="0.25">
      <c r="F1243" s="10"/>
    </row>
    <row r="1244" spans="6:6" x14ac:dyDescent="0.25">
      <c r="F1244" s="10"/>
    </row>
    <row r="1245" spans="6:6" x14ac:dyDescent="0.25">
      <c r="F1245" s="10"/>
    </row>
    <row r="1246" spans="6:6" x14ac:dyDescent="0.25">
      <c r="F1246" s="10"/>
    </row>
    <row r="1247" spans="6:6" x14ac:dyDescent="0.25">
      <c r="F1247" s="10"/>
    </row>
    <row r="1248" spans="6:6" x14ac:dyDescent="0.25">
      <c r="F1248" s="10"/>
    </row>
    <row r="1249" spans="6:6" x14ac:dyDescent="0.25">
      <c r="F1249" s="10"/>
    </row>
    <row r="1250" spans="6:6" x14ac:dyDescent="0.25">
      <c r="F1250" s="10"/>
    </row>
    <row r="1251" spans="6:6" x14ac:dyDescent="0.25">
      <c r="F1251" s="10"/>
    </row>
    <row r="1252" spans="6:6" x14ac:dyDescent="0.25">
      <c r="F1252" s="10"/>
    </row>
    <row r="1253" spans="6:6" x14ac:dyDescent="0.25">
      <c r="F1253" s="10"/>
    </row>
    <row r="1254" spans="6:6" x14ac:dyDescent="0.25">
      <c r="F1254" s="10"/>
    </row>
    <row r="1255" spans="6:6" x14ac:dyDescent="0.25">
      <c r="F1255" s="10"/>
    </row>
    <row r="1256" spans="6:6" x14ac:dyDescent="0.25">
      <c r="F1256" s="10"/>
    </row>
    <row r="1257" spans="6:6" x14ac:dyDescent="0.25">
      <c r="F1257" s="10"/>
    </row>
    <row r="1258" spans="6:6" x14ac:dyDescent="0.25">
      <c r="F1258" s="10"/>
    </row>
    <row r="1259" spans="6:6" x14ac:dyDescent="0.25">
      <c r="F1259" s="10"/>
    </row>
    <row r="1260" spans="6:6" x14ac:dyDescent="0.25">
      <c r="F1260" s="10"/>
    </row>
    <row r="1261" spans="6:6" x14ac:dyDescent="0.25">
      <c r="F1261" s="10"/>
    </row>
    <row r="1262" spans="6:6" x14ac:dyDescent="0.25">
      <c r="F1262" s="10"/>
    </row>
    <row r="1263" spans="6:6" x14ac:dyDescent="0.25">
      <c r="F1263" s="10"/>
    </row>
    <row r="1264" spans="6:6" x14ac:dyDescent="0.25">
      <c r="F1264" s="10"/>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ex1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Evans</dc:creator>
  <cp:lastModifiedBy>Daniel Evans</cp:lastModifiedBy>
  <dcterms:created xsi:type="dcterms:W3CDTF">2025-06-21T09:11:43Z</dcterms:created>
  <dcterms:modified xsi:type="dcterms:W3CDTF">2025-07-05T23:40:01Z</dcterms:modified>
</cp:coreProperties>
</file>
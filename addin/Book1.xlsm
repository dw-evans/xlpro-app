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057d7d904c1490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addin\"/>
    </mc:Choice>
  </mc:AlternateContent>
  <xr:revisionPtr revIDLastSave="0" documentId="13_ncr:1_{CAC3BF92-CE3C-4C96-BE70-302AE64298FF}" xr6:coauthVersionLast="47" xr6:coauthVersionMax="47" xr10:uidLastSave="{00000000-0000-0000-0000-000000000000}"/>
  <bookViews>
    <workbookView xWindow="9195" yWindow="4215" windowWidth="19080" windowHeight="10935" xr2:uid="{84F3ECA0-F438-426E-B898-622F9731856D}"/>
  </bookViews>
  <sheets>
    <sheet name="Sheet1" sheetId="1" r:id="rId1"/>
  </sheets>
  <functionGroups builtInGroupCount="19"/>
  <externalReferences>
    <externalReference r:id="rId2"/>
  </externalReferences>
  <definedNames>
    <definedName name="_xlnm._FilterDatabase" localSheetId="0" hidden="1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2" i="1" l="1" a="1"/>
  <c r="G32" i="1" s="1"/>
  <c r="C27" i="1" a="1"/>
  <c r="A21" i="1" a="1"/>
  <c r="A27" i="1" a="1"/>
  <c r="A24" i="1" a="1"/>
  <c r="B21" i="1" a="1"/>
  <c r="A27" i="1" l="1"/>
  <c r="A24" i="1"/>
  <c r="B21" i="1"/>
  <c r="C27" i="1"/>
  <c r="A21" i="1"/>
  <c r="L3" i="1" a="1"/>
  <c r="L3" i="1" s="1"/>
  <c r="P3" i="1" l="1"/>
  <c r="O3" i="1"/>
  <c r="M3" i="1" a="1"/>
  <c r="M3" i="1" s="1"/>
  <c r="P5" i="1" s="1"/>
  <c r="O5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<sst xmlns="http://schemas.openxmlformats.org/spreadsheetml/2006/main" count="21" uniqueCount="10">
  <si>
    <t>x-data</t>
  </si>
  <si>
    <t>y-data3</t>
  </si>
  <si>
    <t>=py_plot(L3#,M3#, O3:P3, O5:P5, L2, M2)</t>
  </si>
  <si>
    <t>*&lt;C:\Users\Daniel Evans\projects\xlpro\addin\Book1.xlsm::Sheet1::$L$9:$L$103&gt;</t>
  </si>
  <si>
    <t>a</t>
  </si>
  <si>
    <t>bc</t>
  </si>
  <si>
    <t>c</t>
  </si>
  <si>
    <t>b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</si>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</sst>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niel%20Evans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C3A2E-947A-4FC4-B57A-5AF8145DFB0E}">
  <sheetPr codeName="Sheet1"/>
  <dimension ref="A1:T122"/>
  <sheetViews>
    <sheetView tabSelected="1" topLeftCell="A7" zoomScale="70" zoomScaleNormal="70" workbookViewId="0">
      <selection activeCell="A28" sqref="A28"/>
    </sheetView>
  </sheetViews>
  <sheetFormatPr defaultRowHeight="15" x14ac:dyDescent="0.25"/>
  <cols>
    <col min="1" max="1" width="20" customWidth="1"/>
    <col min="2" max="2" width="12" customWidth="1"/>
    <col min="5" max="5" width="23" customWidth="1"/>
  </cols>
  <sheetData>
    <row r="1" spans="1:18" x14ac:dyDescent="0.25">
      <c r="A1">
        <v>1</v>
      </c>
      <c r="B1">
        <v>1</v>
      </c>
    </row>
    <row r="2" spans="1:18" x14ac:dyDescent="0.25">
      <c r="A2">
        <v>2</v>
      </c>
      <c r="B2">
        <v>2</v>
      </c>
      <c r="L2" t="s">
        <v>0</v>
      </c>
      <c r="M2" t="s">
        <v>1</v>
      </c>
      <c r="N2" t="s">
        <v>4</v>
      </c>
      <c r="O2" t="s">
        <v>5</v>
      </c>
      <c r="P2" t="s">
        <v>6</v>
      </c>
    </row>
    <row r="3" spans="1:18" x14ac:dyDescent="0.25">
      <c r="A3">
        <v>3</v>
      </c>
      <c r="B3">
        <v>3</v>
      </c>
      <c r="K3" t="s">
        <v>4</v>
      </c>
      <c r="L3" cm="1">
        <f t="array" ref="L3:L103">_xlfn.SEQUENCE(101,1) / 100</f>
        <v>0.01</v>
      </c>
      <c r="M3" cm="1">
        <f t="array" ref="M3:M103">SIN(_xlfn.ANCHORARRAY(L3))*2</f>
        <v>1.9999666668333329E-2</v>
      </c>
      <c r="O3">
        <f>MIN(_xlfn.ANCHORARRAY(L3))</f>
        <v>0.01</v>
      </c>
      <c r="P3">
        <f>MAX(_xlfn.ANCHORARRAY(L3))</f>
        <v>1.01</v>
      </c>
      <c r="R3" s="1" t="s">
        <v>2</v>
      </c>
    </row>
    <row r="4" spans="1:18" x14ac:dyDescent="0.25">
      <c r="A4">
        <v>4</v>
      </c>
      <c r="B4">
        <v>4</v>
      </c>
      <c r="K4" t="s">
        <v>7</v>
      </c>
      <c r="L4">
        <v>0.02</v>
      </c>
      <c r="M4">
        <v>3.999733338666616E-2</v>
      </c>
    </row>
    <row r="5" spans="1:18" x14ac:dyDescent="0.25">
      <c r="A5">
        <v>5</v>
      </c>
      <c r="B5">
        <v>5</v>
      </c>
      <c r="K5" t="s">
        <v>6</v>
      </c>
      <c r="L5">
        <v>0.03</v>
      </c>
      <c r="M5">
        <v>5.9991000404991321E-2</v>
      </c>
      <c r="O5">
        <f>MIN(_xlfn.ANCHORARRAY(M3))</f>
        <v>1.9999666668333329E-2</v>
      </c>
      <c r="P5">
        <f>MAX(_xlfn.ANCHORARRAY(M3))</f>
        <v>1.6936636892360304</v>
      </c>
    </row>
    <row r="6" spans="1:18" x14ac:dyDescent="0.25">
      <c r="A6">
        <v>6</v>
      </c>
      <c r="B6">
        <v>6</v>
      </c>
      <c r="K6" t="s">
        <v>8</v>
      </c>
      <c r="L6">
        <v>0.04</v>
      </c>
      <c r="M6">
        <v>7.9978668373268322E-2</v>
      </c>
    </row>
    <row r="7" spans="1:18" x14ac:dyDescent="0.25">
      <c r="A7">
        <v>7</v>
      </c>
      <c r="B7">
        <v>7</v>
      </c>
      <c r="K7" t="s">
        <v>9</v>
      </c>
      <c r="L7">
        <v>0.05</v>
      </c>
      <c r="M7">
        <v>9.9958338541356662E-2</v>
      </c>
    </row>
    <row r="8" spans="1:18" x14ac:dyDescent="0.25">
      <c r="A8">
        <v>8</v>
      </c>
      <c r="B8">
        <v>8</v>
      </c>
      <c r="K8" t="s">
        <v>6</v>
      </c>
      <c r="L8">
        <v>0.06</v>
      </c>
      <c r="M8">
        <v>0.11992801295888919</v>
      </c>
    </row>
    <row r="9" spans="1:18" x14ac:dyDescent="0.25">
      <c r="A9">
        <v>9</v>
      </c>
      <c r="B9">
        <v>9</v>
      </c>
      <c r="K9" t="s">
        <v>8</v>
      </c>
      <c r="L9">
        <v>7.0000000000000007E-2</v>
      </c>
      <c r="M9">
        <v>0.13988569467506554</v>
      </c>
    </row>
    <row r="10" spans="1:18" x14ac:dyDescent="0.25">
      <c r="A10">
        <v>10</v>
      </c>
      <c r="B10">
        <v>10</v>
      </c>
      <c r="K10" t="s">
        <v>9</v>
      </c>
      <c r="L10">
        <v>0.08</v>
      </c>
      <c r="M10">
        <v>0.15982938793834539</v>
      </c>
    </row>
    <row r="11" spans="1:18" x14ac:dyDescent="0.25">
      <c r="K11" t="s">
        <v>6</v>
      </c>
      <c r="L11">
        <v>0.09</v>
      </c>
      <c r="M11">
        <v>0.17975709839602208</v>
      </c>
    </row>
    <row r="12" spans="1:18" x14ac:dyDescent="0.25">
      <c r="K12" t="s">
        <v>8</v>
      </c>
      <c r="L12">
        <v>0.1</v>
      </c>
      <c r="M12">
        <v>0.19966683329365631</v>
      </c>
    </row>
    <row r="13" spans="1:18" x14ac:dyDescent="0.25">
      <c r="K13" t="s">
        <v>9</v>
      </c>
      <c r="L13">
        <v>0.11</v>
      </c>
      <c r="M13">
        <v>0.21955660167434962</v>
      </c>
    </row>
    <row r="14" spans="1:18" x14ac:dyDescent="0.25">
      <c r="K14" t="s">
        <v>6</v>
      </c>
      <c r="L14">
        <v>0.12</v>
      </c>
      <c r="M14">
        <v>0.23942441457783872</v>
      </c>
    </row>
    <row r="15" spans="1:18" x14ac:dyDescent="0.25">
      <c r="K15" t="s">
        <v>8</v>
      </c>
      <c r="L15">
        <v>0.13</v>
      </c>
      <c r="M15">
        <v>0.25926828523938972</v>
      </c>
    </row>
    <row r="16" spans="1:18" x14ac:dyDescent="0.25">
      <c r="K16" t="s">
        <v>9</v>
      </c>
      <c r="L16">
        <v>0.14000000000000001</v>
      </c>
      <c r="M16">
        <v>0.27908622928847299</v>
      </c>
    </row>
    <row r="17" spans="1:20" x14ac:dyDescent="0.25">
      <c r="L17">
        <v>0.15</v>
      </c>
      <c r="M17">
        <v>0.29887626494719843</v>
      </c>
    </row>
    <row r="18" spans="1:20" x14ac:dyDescent="0.25">
      <c r="B18" t="s">
        <v>3</v>
      </c>
      <c r="L18">
        <v>0.16</v>
      </c>
      <c r="M18">
        <v>0.31863641322849195</v>
      </c>
    </row>
    <row r="19" spans="1:20" x14ac:dyDescent="0.25">
      <c r="L19">
        <v>0.17</v>
      </c>
      <c r="M19">
        <v>0.33836469813399206</v>
      </c>
    </row>
    <row r="20" spans="1:20" x14ac:dyDescent="0.25">
      <c r="L20">
        <v>0.18</v>
      </c>
      <c r="M20">
        <v>0.35805914685164836</v>
      </c>
    </row>
    <row r="21" spans="1:20" x14ac:dyDescent="0.25">
      <c r="A21" s="1" t="str" cm="1">
        <f t="array" ref="A21">get_args_of_function("test_function_1")</f>
        <v>rng1</v>
      </c>
      <c r="B21" t="str" cm="1">
        <f t="array" ref="B21">ptr(M5:M100)</f>
        <v>*&lt;C:\Users\Daniel Evans\projects\xlpro\addin\Book1.xlsm::Sheet1::$M$5:$M$100&gt;</v>
      </c>
      <c r="L21">
        <v>0.19</v>
      </c>
      <c r="M21">
        <v>0.37771778995300115</v>
      </c>
    </row>
    <row r="22" spans="1:20" x14ac:dyDescent="0.25">
      <c r="L22">
        <v>0.2</v>
      </c>
      <c r="M22">
        <v>0.39733866159012243</v>
      </c>
    </row>
    <row r="23" spans="1:20" x14ac:dyDescent="0.25">
      <c r="L23">
        <v>0.21</v>
      </c>
      <c r="M23">
        <v>0.41691979969219911</v>
      </c>
    </row>
    <row r="24" spans="1:20" x14ac:dyDescent="0.25">
      <c r="A24" s="1" t="str" cm="1">
        <f t="array" ref="A24">jsonify(A21:B21)</f>
        <v>{
  "rng1": "*&lt;C:\\Users\\Daniel Evans\\projects\\xlpro\\addin\\Book1.xlsm::Sheet1::$M$5:$M$100&gt;"
}</v>
      </c>
      <c r="L24">
        <v>0.22</v>
      </c>
      <c r="M24">
        <v>0.43645924616173865</v>
      </c>
      <c r="T24" s="1"/>
    </row>
    <row r="25" spans="1:20" x14ac:dyDescent="0.25">
      <c r="B25" s="1"/>
      <c r="L25">
        <v>0.23</v>
      </c>
      <c r="M25">
        <v>0.45595504707037682</v>
      </c>
    </row>
    <row r="26" spans="1:20" x14ac:dyDescent="0.25">
      <c r="L26">
        <v>0.24</v>
      </c>
      <c r="M26">
        <v>0.47540525285426916</v>
      </c>
    </row>
    <row r="27" spans="1:20" x14ac:dyDescent="0.25">
      <c r="A27" cm="1">
        <f t="array" ref="A27:A122">TRANSPOSE(test_function_1_json(A24))</f>
        <v>4.7965947988215886E-2</v>
      </c>
      <c r="C27" t="str" cm="1">
        <f t="array" ref="C27">jsonify(K3:L15)</f>
        <v>{
  "a": "0.01",
  "b": "0.02",
  "c": "0.12",
  "d": "0.13",
  "e": "0.11"
}</v>
      </c>
      <c r="L27">
        <v>0.25</v>
      </c>
      <c r="M27">
        <v>0.49480791850904587</v>
      </c>
    </row>
    <row r="28" spans="1:20" x14ac:dyDescent="0.25">
      <c r="A28" s="2">
        <v>1.3156833033051608E-2</v>
      </c>
      <c r="L28">
        <v>0.26</v>
      </c>
      <c r="M28">
        <v>0.51416110378431024</v>
      </c>
    </row>
    <row r="29" spans="1:20" x14ac:dyDescent="0.25">
      <c r="A29">
        <v>1.2517806893060887E-2</v>
      </c>
      <c r="L29">
        <v>0.27</v>
      </c>
      <c r="M29">
        <v>0.53346287337766229</v>
      </c>
    </row>
    <row r="30" spans="1:20" x14ac:dyDescent="0.25">
      <c r="A30">
        <v>6.1534544774580931E-2</v>
      </c>
      <c r="L30">
        <v>0.28000000000000003</v>
      </c>
      <c r="M30">
        <v>0.55271129712822753</v>
      </c>
    </row>
    <row r="31" spans="1:20" x14ac:dyDescent="0.25">
      <c r="A31">
        <v>8.4875005541698301E-3</v>
      </c>
      <c r="L31">
        <v>0.28999999999999998</v>
      </c>
      <c r="M31">
        <v>0.57190445020967107</v>
      </c>
    </row>
    <row r="32" spans="1:20" x14ac:dyDescent="0.25">
      <c r="A32">
        <v>3.3756518375211778E-2</v>
      </c>
      <c r="G32" cm="1">
        <f t="array" ref="G32:I37">[1]Sheet1!$A$3:$C$8</f>
        <v>0</v>
      </c>
      <c r="H32">
        <v>0</v>
      </c>
      <c r="I32">
        <v>0</v>
      </c>
      <c r="L32">
        <v>0.3</v>
      </c>
      <c r="M32">
        <v>0.59104041332267909</v>
      </c>
    </row>
    <row r="33" spans="1:13" x14ac:dyDescent="0.25">
      <c r="A33">
        <v>0.10918208548312749</v>
      </c>
      <c r="G33">
        <v>0</v>
      </c>
      <c r="H33">
        <v>0</v>
      </c>
      <c r="I33">
        <v>0</v>
      </c>
      <c r="L33">
        <v>0.31</v>
      </c>
      <c r="M33">
        <v>0.610117272886887</v>
      </c>
    </row>
    <row r="34" spans="1:13" x14ac:dyDescent="0.25">
      <c r="A34">
        <v>3.642541411297915E-2</v>
      </c>
      <c r="G34">
        <v>0</v>
      </c>
      <c r="H34">
        <v>0</v>
      </c>
      <c r="I34">
        <v>0</v>
      </c>
      <c r="L34">
        <v>0.32</v>
      </c>
      <c r="M34">
        <v>0.62913312123223553</v>
      </c>
    </row>
    <row r="35" spans="1:13" x14ac:dyDescent="0.25">
      <c r="A35">
        <v>1.0532834399163554E-2</v>
      </c>
      <c r="G35">
        <v>0</v>
      </c>
      <c r="H35">
        <v>0</v>
      </c>
      <c r="I35">
        <v>0</v>
      </c>
      <c r="L35">
        <v>0.33</v>
      </c>
      <c r="M35">
        <v>0.64808605678973674</v>
      </c>
    </row>
    <row r="36" spans="1:13" x14ac:dyDescent="0.25">
      <c r="A36">
        <v>0.19338471457070511</v>
      </c>
      <c r="G36">
        <v>0</v>
      </c>
      <c r="H36">
        <v>0</v>
      </c>
      <c r="I36">
        <v>0</v>
      </c>
      <c r="L36">
        <v>0.34</v>
      </c>
      <c r="M36">
        <v>0.6669741842816288</v>
      </c>
    </row>
    <row r="37" spans="1:13" x14ac:dyDescent="0.25">
      <c r="A37">
        <v>0.10852807488232509</v>
      </c>
      <c r="G37">
        <v>0</v>
      </c>
      <c r="H37">
        <v>0</v>
      </c>
      <c r="I37">
        <v>0</v>
      </c>
      <c r="L37">
        <v>0.35</v>
      </c>
      <c r="M37">
        <v>0.68579561491090268</v>
      </c>
    </row>
    <row r="38" spans="1:13" x14ac:dyDescent="0.25">
      <c r="A38">
        <v>0.12819648496676711</v>
      </c>
      <c r="L38">
        <v>0.36</v>
      </c>
      <c r="M38">
        <v>0.70454846655017989</v>
      </c>
    </row>
    <row r="39" spans="1:13" x14ac:dyDescent="0.25">
      <c r="A39">
        <v>0.19468001510154045</v>
      </c>
      <c r="L39">
        <v>0.37</v>
      </c>
      <c r="M39">
        <v>0.72323086392992397</v>
      </c>
    </row>
    <row r="40" spans="1:13" x14ac:dyDescent="0.25">
      <c r="A40">
        <v>7.3619259312370511E-2</v>
      </c>
      <c r="L40">
        <v>0.38</v>
      </c>
      <c r="M40">
        <v>0.74184093882596536</v>
      </c>
    </row>
    <row r="41" spans="1:13" x14ac:dyDescent="0.25">
      <c r="A41">
        <v>0.10350847381527035</v>
      </c>
      <c r="L41">
        <v>0.39</v>
      </c>
      <c r="M41">
        <v>0.76037683024632285</v>
      </c>
    </row>
    <row r="42" spans="1:13" x14ac:dyDescent="0.25">
      <c r="A42">
        <v>0.28965707804528373</v>
      </c>
      <c r="L42">
        <v>0.4</v>
      </c>
      <c r="M42">
        <v>0.77883668461730104</v>
      </c>
    </row>
    <row r="43" spans="1:13" x14ac:dyDescent="0.25">
      <c r="A43">
        <v>0.26426906678032763</v>
      </c>
      <c r="L43">
        <v>0.41</v>
      </c>
      <c r="M43">
        <v>0.79721865596884578</v>
      </c>
    </row>
    <row r="44" spans="1:13" x14ac:dyDescent="0.25">
      <c r="A44">
        <v>3.7098496969970911E-2</v>
      </c>
      <c r="L44">
        <v>0.42</v>
      </c>
      <c r="M44">
        <v>0.8155209061191403</v>
      </c>
    </row>
    <row r="45" spans="1:13" x14ac:dyDescent="0.25">
      <c r="A45">
        <v>0.3628172056423889</v>
      </c>
      <c r="L45">
        <v>0.43</v>
      </c>
      <c r="M45">
        <v>0.83374160485842153</v>
      </c>
    </row>
    <row r="46" spans="1:13" x14ac:dyDescent="0.25">
      <c r="A46">
        <v>0.23284040753198532</v>
      </c>
      <c r="L46">
        <v>0.44</v>
      </c>
      <c r="M46">
        <v>0.85187893013199922</v>
      </c>
    </row>
    <row r="47" spans="1:13" x14ac:dyDescent="0.25">
      <c r="A47">
        <v>0.26758577115406595</v>
      </c>
      <c r="L47">
        <v>0.45</v>
      </c>
      <c r="M47">
        <v>0.86993106822246047</v>
      </c>
    </row>
    <row r="48" spans="1:13" x14ac:dyDescent="0.25">
      <c r="A48">
        <v>0.23355495996076933</v>
      </c>
      <c r="L48">
        <v>0.46</v>
      </c>
      <c r="M48">
        <v>0.88789621393103957</v>
      </c>
    </row>
    <row r="49" spans="1:13" x14ac:dyDescent="0.25">
      <c r="A49">
        <v>9.4497115372636067E-2</v>
      </c>
      <c r="C49" s="1"/>
      <c r="L49">
        <v>0.47</v>
      </c>
      <c r="M49">
        <v>0.90577257075813655</v>
      </c>
    </row>
    <row r="50" spans="1:13" x14ac:dyDescent="0.25">
      <c r="A50">
        <v>1.6838341515144285E-2</v>
      </c>
      <c r="L50">
        <v>0.48</v>
      </c>
      <c r="M50">
        <v>0.9235583510829658</v>
      </c>
    </row>
    <row r="51" spans="1:13" x14ac:dyDescent="0.25">
      <c r="A51">
        <v>0.48583199008443462</v>
      </c>
      <c r="L51">
        <v>0.49</v>
      </c>
      <c r="M51">
        <v>0.94125177634231605</v>
      </c>
    </row>
    <row r="52" spans="1:13" x14ac:dyDescent="0.25">
      <c r="A52">
        <v>7.9258873582328637E-2</v>
      </c>
      <c r="L52">
        <v>0.5</v>
      </c>
      <c r="M52">
        <v>0.95885107720840601</v>
      </c>
    </row>
    <row r="53" spans="1:13" x14ac:dyDescent="0.25">
      <c r="A53">
        <v>0.23783531773211988</v>
      </c>
      <c r="L53">
        <v>0.51</v>
      </c>
      <c r="M53">
        <v>0.97635449376581496</v>
      </c>
    </row>
    <row r="54" spans="1:13" x14ac:dyDescent="0.25">
      <c r="A54">
        <v>0.5712833426643632</v>
      </c>
      <c r="L54">
        <v>0.52</v>
      </c>
      <c r="M54">
        <v>0.99376027568747349</v>
      </c>
    </row>
    <row r="55" spans="1:13" x14ac:dyDescent="0.25">
      <c r="A55">
        <v>0.19402548231385452</v>
      </c>
      <c r="L55">
        <v>0.53</v>
      </c>
      <c r="M55">
        <v>1.0110666824096939</v>
      </c>
    </row>
    <row r="56" spans="1:13" x14ac:dyDescent="0.25">
      <c r="A56">
        <v>0.36530058030516482</v>
      </c>
      <c r="L56">
        <v>0.54</v>
      </c>
      <c r="M56">
        <v>1.0282719833062264</v>
      </c>
    </row>
    <row r="57" spans="1:13" x14ac:dyDescent="0.25">
      <c r="A57">
        <v>0.33369937684464607</v>
      </c>
      <c r="L57">
        <v>0.55000000000000004</v>
      </c>
      <c r="M57">
        <v>1.0453744578613184</v>
      </c>
    </row>
    <row r="58" spans="1:13" x14ac:dyDescent="0.25">
      <c r="A58">
        <v>0.23249580947157988</v>
      </c>
      <c r="L58">
        <v>0.56000000000000005</v>
      </c>
      <c r="M58">
        <v>1.0623723958417668</v>
      </c>
    </row>
    <row r="59" spans="1:13" x14ac:dyDescent="0.25">
      <c r="A59">
        <v>0.46126692761156729</v>
      </c>
      <c r="L59">
        <v>0.56999999999999995</v>
      </c>
      <c r="M59">
        <v>1.0792640974679384</v>
      </c>
    </row>
    <row r="60" spans="1:13" x14ac:dyDescent="0.25">
      <c r="A60">
        <v>0.26440222062208557</v>
      </c>
      <c r="L60">
        <v>0.57999999999999996</v>
      </c>
      <c r="M60">
        <v>1.0960478735837471</v>
      </c>
    </row>
    <row r="61" spans="1:13" x14ac:dyDescent="0.25">
      <c r="A61">
        <v>0.24094122329460094</v>
      </c>
      <c r="L61">
        <v>0.59</v>
      </c>
      <c r="M61">
        <v>1.1127220458255676</v>
      </c>
    </row>
    <row r="62" spans="1:13" x14ac:dyDescent="0.25">
      <c r="A62">
        <v>7.0696247849574956E-2</v>
      </c>
      <c r="L62">
        <v>0.6</v>
      </c>
      <c r="M62">
        <v>1.1292849467900707</v>
      </c>
    </row>
    <row r="63" spans="1:13" x14ac:dyDescent="0.25">
      <c r="A63">
        <v>0.15886286336434174</v>
      </c>
      <c r="L63">
        <v>0.61</v>
      </c>
      <c r="M63">
        <v>1.1457349202009626</v>
      </c>
    </row>
    <row r="64" spans="1:13" x14ac:dyDescent="0.25">
      <c r="A64">
        <v>0.46906439273358413</v>
      </c>
      <c r="L64">
        <v>0.62</v>
      </c>
      <c r="M64">
        <v>1.1620703210746102</v>
      </c>
    </row>
    <row r="65" spans="1:13" x14ac:dyDescent="0.25">
      <c r="A65">
        <v>0.66475245738886968</v>
      </c>
      <c r="L65">
        <v>0.63</v>
      </c>
      <c r="M65">
        <v>1.178289515884539</v>
      </c>
    </row>
    <row r="66" spans="1:13" x14ac:dyDescent="0.25">
      <c r="A66">
        <v>0.15280041570063979</v>
      </c>
      <c r="L66">
        <v>0.64</v>
      </c>
      <c r="M66">
        <v>1.1943908827247842</v>
      </c>
    </row>
    <row r="67" spans="1:13" x14ac:dyDescent="0.25">
      <c r="A67">
        <v>0.24487162524748152</v>
      </c>
      <c r="L67">
        <v>0.65</v>
      </c>
      <c r="M67">
        <v>1.2103728114720791</v>
      </c>
    </row>
    <row r="68" spans="1:13" x14ac:dyDescent="0.25">
      <c r="A68">
        <v>0.26988393432477326</v>
      </c>
      <c r="L68">
        <v>0.66</v>
      </c>
      <c r="M68">
        <v>1.2262337039468676</v>
      </c>
    </row>
    <row r="69" spans="1:13" x14ac:dyDescent="0.25">
      <c r="A69">
        <v>0.57294414391578286</v>
      </c>
      <c r="L69">
        <v>0.67</v>
      </c>
      <c r="M69">
        <v>1.2419719740731194</v>
      </c>
    </row>
    <row r="70" spans="1:13" x14ac:dyDescent="0.25">
      <c r="A70">
        <v>0.80019184157757839</v>
      </c>
      <c r="L70">
        <v>0.68</v>
      </c>
      <c r="M70">
        <v>1.2575860480369372</v>
      </c>
    </row>
    <row r="71" spans="1:13" x14ac:dyDescent="0.25">
      <c r="A71">
        <v>0.55995046928797165</v>
      </c>
      <c r="L71">
        <v>0.69</v>
      </c>
      <c r="M71">
        <v>1.2730743644439357</v>
      </c>
    </row>
    <row r="72" spans="1:13" x14ac:dyDescent="0.25">
      <c r="A72">
        <v>0.83617826108969984</v>
      </c>
      <c r="L72">
        <v>0.7</v>
      </c>
      <c r="M72">
        <v>1.288435374475382</v>
      </c>
    </row>
    <row r="73" spans="1:13" x14ac:dyDescent="0.25">
      <c r="A73">
        <v>0.75394825243129537</v>
      </c>
      <c r="L73">
        <v>0.71</v>
      </c>
      <c r="M73">
        <v>1.3036675420430732</v>
      </c>
    </row>
    <row r="74" spans="1:13" x14ac:dyDescent="0.25">
      <c r="A74">
        <v>0.53560802323785284</v>
      </c>
      <c r="L74">
        <v>0.72</v>
      </c>
      <c r="M74">
        <v>1.3187693439429462</v>
      </c>
    </row>
    <row r="75" spans="1:13" x14ac:dyDescent="0.25">
      <c r="A75">
        <v>0.91391648140488424</v>
      </c>
      <c r="L75">
        <v>0.73</v>
      </c>
      <c r="M75">
        <v>1.3337392700073958</v>
      </c>
    </row>
    <row r="76" spans="1:13" x14ac:dyDescent="0.25">
      <c r="A76">
        <v>0.54641945058142627</v>
      </c>
      <c r="L76">
        <v>0.74</v>
      </c>
      <c r="M76">
        <v>1.3485758232562901</v>
      </c>
    </row>
    <row r="77" spans="1:13" x14ac:dyDescent="0.25">
      <c r="A77">
        <v>0.92942087559953235</v>
      </c>
      <c r="L77">
        <v>0.75</v>
      </c>
      <c r="M77">
        <v>1.3632775200466682</v>
      </c>
    </row>
    <row r="78" spans="1:13" x14ac:dyDescent="0.25">
      <c r="A78">
        <v>0.51133716574213417</v>
      </c>
      <c r="L78">
        <v>0.76</v>
      </c>
      <c r="M78">
        <v>1.3778428902211026</v>
      </c>
    </row>
    <row r="79" spans="1:13" x14ac:dyDescent="0.25">
      <c r="A79">
        <v>6.5328854130107819E-2</v>
      </c>
      <c r="L79">
        <v>0.77</v>
      </c>
      <c r="M79">
        <v>1.3922704772547134</v>
      </c>
    </row>
    <row r="80" spans="1:13" x14ac:dyDescent="0.25">
      <c r="A80">
        <v>0.52856006768868646</v>
      </c>
      <c r="L80">
        <v>0.78</v>
      </c>
      <c r="M80">
        <v>1.4065588384008203</v>
      </c>
    </row>
    <row r="81" spans="1:13" x14ac:dyDescent="0.25">
      <c r="A81">
        <v>0.48330771452721505</v>
      </c>
      <c r="L81">
        <v>0.79</v>
      </c>
      <c r="M81">
        <v>1.4207065448352156</v>
      </c>
    </row>
    <row r="82" spans="1:13" x14ac:dyDescent="0.25">
      <c r="A82">
        <v>0.48939880680606085</v>
      </c>
      <c r="L82">
        <v>0.8</v>
      </c>
      <c r="M82">
        <v>1.4347121817990456</v>
      </c>
    </row>
    <row r="83" spans="1:13" x14ac:dyDescent="0.25">
      <c r="A83">
        <v>0.55231831652872176</v>
      </c>
      <c r="L83">
        <v>0.81</v>
      </c>
      <c r="M83">
        <v>1.4485743487402851</v>
      </c>
    </row>
    <row r="84" spans="1:13" x14ac:dyDescent="0.25">
      <c r="A84">
        <v>0.7060841246548758</v>
      </c>
      <c r="L84">
        <v>0.82</v>
      </c>
      <c r="M84">
        <v>1.4622916594537916</v>
      </c>
    </row>
    <row r="85" spans="1:13" x14ac:dyDescent="0.25">
      <c r="A85">
        <v>0.10193418084229044</v>
      </c>
      <c r="L85">
        <v>0.83</v>
      </c>
      <c r="M85">
        <v>1.4758627422199253</v>
      </c>
    </row>
    <row r="86" spans="1:13" x14ac:dyDescent="0.25">
      <c r="A86">
        <v>0.45179386679911193</v>
      </c>
      <c r="L86">
        <v>0.84</v>
      </c>
      <c r="M86">
        <v>1.4892862399417186</v>
      </c>
    </row>
    <row r="87" spans="1:13" x14ac:dyDescent="0.25">
      <c r="A87">
        <v>0.16853218216428106</v>
      </c>
      <c r="L87">
        <v>0.85</v>
      </c>
      <c r="M87">
        <v>1.5025608102805854</v>
      </c>
    </row>
    <row r="88" spans="1:13" x14ac:dyDescent="0.25">
      <c r="A88">
        <v>0.92607560062212801</v>
      </c>
      <c r="L88">
        <v>0.86</v>
      </c>
      <c r="M88">
        <v>1.5156851257905539</v>
      </c>
    </row>
    <row r="89" spans="1:13" x14ac:dyDescent="0.25">
      <c r="A89">
        <v>0.48152273489212521</v>
      </c>
      <c r="L89">
        <v>0.87</v>
      </c>
      <c r="M89">
        <v>1.5286578740510102</v>
      </c>
    </row>
    <row r="90" spans="1:13" x14ac:dyDescent="0.25">
      <c r="A90">
        <v>1.1730509068151138</v>
      </c>
      <c r="L90">
        <v>0.88</v>
      </c>
      <c r="M90">
        <v>1.5414777577979386</v>
      </c>
    </row>
    <row r="91" spans="1:13" x14ac:dyDescent="0.25">
      <c r="A91">
        <v>0.16640271846699853</v>
      </c>
      <c r="L91">
        <v>0.89</v>
      </c>
      <c r="M91">
        <v>1.5541434950536477</v>
      </c>
    </row>
    <row r="92" spans="1:13" x14ac:dyDescent="0.25">
      <c r="A92">
        <v>0.21757703923840935</v>
      </c>
      <c r="L92">
        <v>0.9</v>
      </c>
      <c r="M92">
        <v>1.5666538192549668</v>
      </c>
    </row>
    <row r="93" spans="1:13" x14ac:dyDescent="0.25">
      <c r="A93">
        <v>1.2560181694547718</v>
      </c>
      <c r="L93">
        <v>0.91</v>
      </c>
      <c r="M93">
        <v>1.5790074793799009</v>
      </c>
    </row>
    <row r="94" spans="1:13" x14ac:dyDescent="0.25">
      <c r="A94">
        <v>0.89383863867861724</v>
      </c>
      <c r="L94">
        <v>0.92</v>
      </c>
      <c r="M94">
        <v>1.5912032400727321</v>
      </c>
    </row>
    <row r="95" spans="1:13" x14ac:dyDescent="0.25">
      <c r="A95">
        <v>0.7951629075831359</v>
      </c>
      <c r="L95">
        <v>0.93</v>
      </c>
      <c r="M95">
        <v>1.6032398817675544</v>
      </c>
    </row>
    <row r="96" spans="1:13" x14ac:dyDescent="0.25">
      <c r="A96">
        <v>0.37409881661825012</v>
      </c>
      <c r="L96">
        <v>0.94</v>
      </c>
      <c r="M96">
        <v>1.6151162008102284</v>
      </c>
    </row>
    <row r="97" spans="1:13" x14ac:dyDescent="0.25">
      <c r="A97">
        <v>0.2280764721938954</v>
      </c>
      <c r="L97">
        <v>0.95</v>
      </c>
      <c r="M97">
        <v>1.6268310095787475</v>
      </c>
    </row>
    <row r="98" spans="1:13" x14ac:dyDescent="0.25">
      <c r="A98">
        <v>0.63537850743747393</v>
      </c>
      <c r="L98">
        <v>0.96</v>
      </c>
      <c r="M98">
        <v>1.6383831366019965</v>
      </c>
    </row>
    <row r="99" spans="1:13" x14ac:dyDescent="0.25">
      <c r="A99">
        <v>0.47331081993390844</v>
      </c>
      <c r="L99">
        <v>0.97</v>
      </c>
      <c r="M99">
        <v>1.6497714266769001</v>
      </c>
    </row>
    <row r="100" spans="1:13" x14ac:dyDescent="0.25">
      <c r="A100">
        <v>0.98197138955585106</v>
      </c>
      <c r="L100">
        <v>0.98</v>
      </c>
      <c r="M100">
        <v>1.660994740983941</v>
      </c>
    </row>
    <row r="101" spans="1:13" x14ac:dyDescent="0.25">
      <c r="A101">
        <v>0.12029938518999644</v>
      </c>
      <c r="L101">
        <v>0.99</v>
      </c>
      <c r="M101">
        <v>1.6720519572010411</v>
      </c>
    </row>
    <row r="102" spans="1:13" x14ac:dyDescent="0.25">
      <c r="A102">
        <v>1.1574942322655921</v>
      </c>
      <c r="L102">
        <v>1</v>
      </c>
      <c r="M102">
        <v>1.682941969615793</v>
      </c>
    </row>
    <row r="103" spans="1:13" x14ac:dyDescent="0.25">
      <c r="A103">
        <v>0.65091008060812439</v>
      </c>
      <c r="L103">
        <v>1.01</v>
      </c>
      <c r="M103">
        <v>1.6936636892360304</v>
      </c>
    </row>
    <row r="104" spans="1:13" x14ac:dyDescent="0.25">
      <c r="A104">
        <v>0.4443539455023523</v>
      </c>
    </row>
    <row r="105" spans="1:13" x14ac:dyDescent="0.25">
      <c r="A105">
        <v>0.69448711818561981</v>
      </c>
    </row>
    <row r="106" spans="1:13" x14ac:dyDescent="0.25">
      <c r="A106">
        <v>0.60024282086520853</v>
      </c>
    </row>
    <row r="107" spans="1:13" x14ac:dyDescent="0.25">
      <c r="A107">
        <v>0.63937912950471498</v>
      </c>
    </row>
    <row r="108" spans="1:13" x14ac:dyDescent="0.25">
      <c r="A108">
        <v>1.3286738763126995</v>
      </c>
    </row>
    <row r="109" spans="1:13" x14ac:dyDescent="0.25">
      <c r="A109">
        <v>0.68255380097300966</v>
      </c>
    </row>
    <row r="110" spans="1:13" x14ac:dyDescent="0.25">
      <c r="A110">
        <v>0.67584461804554041</v>
      </c>
    </row>
    <row r="111" spans="1:13" x14ac:dyDescent="0.25">
      <c r="A111">
        <v>1.9317052255138845E-2</v>
      </c>
    </row>
    <row r="112" spans="1:13" x14ac:dyDescent="0.25">
      <c r="A112">
        <v>1.1460103953601328</v>
      </c>
    </row>
    <row r="113" spans="1:1" x14ac:dyDescent="0.25">
      <c r="A113">
        <v>0.78433799932420722</v>
      </c>
    </row>
    <row r="114" spans="1:1" x14ac:dyDescent="0.25">
      <c r="A114">
        <v>0.73504289263701605</v>
      </c>
    </row>
    <row r="115" spans="1:1" x14ac:dyDescent="0.25">
      <c r="A115">
        <v>0.9542045288108294</v>
      </c>
    </row>
    <row r="116" spans="1:1" x14ac:dyDescent="0.25">
      <c r="A116">
        <v>1.540473224751689</v>
      </c>
    </row>
    <row r="117" spans="1:1" x14ac:dyDescent="0.25">
      <c r="A117">
        <v>1.5892536073255239</v>
      </c>
    </row>
    <row r="118" spans="1:1" x14ac:dyDescent="0.25">
      <c r="A118">
        <v>1.3296096316882158</v>
      </c>
    </row>
    <row r="119" spans="1:1" x14ac:dyDescent="0.25">
      <c r="A119">
        <v>0.48560191186651303</v>
      </c>
    </row>
    <row r="120" spans="1:1" x14ac:dyDescent="0.25">
      <c r="A120">
        <v>1.158776628174482</v>
      </c>
    </row>
    <row r="121" spans="1:1" x14ac:dyDescent="0.25">
      <c r="A121">
        <v>1.4168974055849042</v>
      </c>
    </row>
    <row r="122" spans="1:1" x14ac:dyDescent="0.25">
      <c r="A122">
        <v>1.2817566199696244</v>
      </c>
    </row>
  </sheetData>
  <dataConsolidate/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 startFromScratch="false">
    <tabs>
      <tab id="CustomTab" label="xlpro">
        <group id="SimpleControls" label="My Group">
          <button id="Button1" imageMso="HappyFace" size="large" label="Start xlpro" screentip="Start xlpro server" onAction="xlproStart"/>
          <button id="Button2" imageMso="HappyFace" size="large" label="Register ThisWorkbook" screentip="Register this workbook" onAction="xlproRegis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2025-01-04T20:00:08Z</dcterms:created>
  <dcterms:modified xsi:type="dcterms:W3CDTF">2025-03-11T21:20:50Z</dcterms:modified>
</cp:coreProperties>
</file>
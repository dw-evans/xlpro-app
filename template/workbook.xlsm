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EB9F10AD-6919-4FBB-BE7F-8A3693486FF6}" xr6:coauthVersionLast="47" xr6:coauthVersionMax="47" xr10:uidLastSave="{00000000-0000-0000-0000-000000000000}"/>
  <bookViews>
    <workbookView xWindow="0" yWindow="0" windowWidth="21660" windowHeight="21000" xr2:uid="{CAD0ED01-773F-48F3-A1D3-81548134D7BE}"/>
  </bookViews>
  <sheets>
    <sheet name="Sheet1" sheetId="1" r:id="rId1"/>
  </sheets>
  <functionGroups builtInGroupCount="19"/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7" i="1" l="1"/>
  <c r="S18" i="1"/>
  <c r="H9" i="1" a="1"/>
  <c r="H9" i="1" s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5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11" i="1"/>
  <c r="G12" i="1"/>
  <c r="G13" i="1"/>
  <c r="G14" i="1"/>
  <c r="G15" i="1"/>
  <c r="G16" i="1"/>
  <c r="G17" i="1"/>
  <c r="G18" i="1"/>
  <c r="G19" i="1"/>
  <c r="G20" i="1"/>
  <c r="G21" i="1"/>
  <c r="G10" i="1"/>
  <c r="G9" i="1"/>
  <c r="H94" i="1" a="1"/>
  <c r="H88" i="1" a="1"/>
  <c r="H82" i="1" a="1"/>
  <c r="H76" i="1" a="1"/>
  <c r="H70" i="1" a="1"/>
  <c r="H50" i="1" a="1"/>
  <c r="H44" i="1" a="1"/>
  <c r="H38" i="1" a="1"/>
  <c r="H89" i="1" a="1"/>
  <c r="H77" i="1" a="1"/>
  <c r="H51" i="1" a="1"/>
  <c r="H45" i="1" a="1"/>
  <c r="H39" i="1" a="1"/>
  <c r="H43" i="1" a="1"/>
  <c r="H37" i="1" a="1"/>
  <c r="H93" i="1" a="1"/>
  <c r="H81" i="1" a="1"/>
  <c r="H87" i="1" a="1"/>
  <c r="H75" i="1" a="1"/>
  <c r="H49" i="1" a="1"/>
  <c r="H69" i="1" a="1"/>
  <c r="H83" i="1" a="1"/>
  <c r="H92" i="1" a="1"/>
  <c r="H80" i="1" a="1"/>
  <c r="H68" i="1" a="1"/>
  <c r="H42" i="1" a="1"/>
  <c r="H97" i="1" a="1"/>
  <c r="H79" i="1" a="1"/>
  <c r="H35" i="1" a="1"/>
  <c r="H95" i="1" a="1"/>
  <c r="H71" i="1" a="1"/>
  <c r="H86" i="1" a="1"/>
  <c r="H74" i="1" a="1"/>
  <c r="H48" i="1" a="1"/>
  <c r="H36" i="1" a="1"/>
  <c r="H91" i="1" a="1"/>
  <c r="H85" i="1" a="1"/>
  <c r="H73" i="1" a="1"/>
  <c r="H53" i="1" a="1"/>
  <c r="H47" i="1" a="1"/>
  <c r="H41" i="1" a="1"/>
  <c r="H96" i="1" a="1"/>
  <c r="H90" i="1" a="1"/>
  <c r="H84" i="1" a="1"/>
  <c r="H78" i="1" a="1"/>
  <c r="H72" i="1" a="1"/>
  <c r="H52" i="1" a="1"/>
  <c r="H46" i="1" a="1"/>
  <c r="H40" i="1" a="1"/>
  <c r="H34" i="1" a="1"/>
  <c r="H29" i="1" a="1"/>
  <c r="H23" i="1" a="1"/>
  <c r="H17" i="1" a="1"/>
  <c r="H18" i="1" a="1"/>
  <c r="H33" i="1" a="1"/>
  <c r="H15" i="1" a="1"/>
  <c r="H30" i="1" a="1"/>
  <c r="H28" i="1" a="1"/>
  <c r="H22" i="1" a="1"/>
  <c r="H16" i="1" a="1"/>
  <c r="H11" i="1" a="1"/>
  <c r="H12" i="1" a="1"/>
  <c r="H10" i="1" a="1"/>
  <c r="H24" i="1" a="1"/>
  <c r="H21" i="1" a="1"/>
  <c r="H19" i="1" a="1"/>
  <c r="H25" i="1" a="1"/>
  <c r="H31" i="1" a="1"/>
  <c r="H14" i="1" a="1"/>
  <c r="H20" i="1" a="1"/>
  <c r="H26" i="1" a="1"/>
  <c r="H32" i="1" a="1"/>
  <c r="H27" i="1" a="1"/>
  <c r="H13" i="1" a="1"/>
  <c r="U13" i="1" a="1"/>
  <c r="S13" i="1" a="1"/>
  <c r="S16" i="1" a="1"/>
  <c r="S15" i="1" a="1"/>
  <c r="S14" i="1" a="1"/>
  <c r="R13" i="1" a="1"/>
  <c r="U13" i="1" l="1"/>
  <c r="S13" i="1"/>
  <c r="S16" i="1"/>
  <c r="S15" i="1"/>
  <c r="S14" i="1"/>
  <c r="R13" i="1"/>
  <c r="H94" i="1"/>
  <c r="H88" i="1"/>
  <c r="H82" i="1"/>
  <c r="H76" i="1"/>
  <c r="H70" i="1"/>
  <c r="H50" i="1"/>
  <c r="H44" i="1"/>
  <c r="H38" i="1"/>
  <c r="H89" i="1"/>
  <c r="H77" i="1"/>
  <c r="H51" i="1"/>
  <c r="H45" i="1"/>
  <c r="H39" i="1"/>
  <c r="H43" i="1"/>
  <c r="H37" i="1"/>
  <c r="H93" i="1"/>
  <c r="H81" i="1"/>
  <c r="H87" i="1"/>
  <c r="H75" i="1"/>
  <c r="H49" i="1"/>
  <c r="H69" i="1"/>
  <c r="H83" i="1"/>
  <c r="H92" i="1"/>
  <c r="H80" i="1"/>
  <c r="H68" i="1"/>
  <c r="H42" i="1"/>
  <c r="H97" i="1"/>
  <c r="H79" i="1"/>
  <c r="H35" i="1"/>
  <c r="H95" i="1"/>
  <c r="H71" i="1"/>
  <c r="H86" i="1"/>
  <c r="H74" i="1"/>
  <c r="H48" i="1"/>
  <c r="H36" i="1"/>
  <c r="H91" i="1"/>
  <c r="H85" i="1"/>
  <c r="H73" i="1"/>
  <c r="H53" i="1"/>
  <c r="H47" i="1"/>
  <c r="H41" i="1"/>
  <c r="H96" i="1"/>
  <c r="H90" i="1"/>
  <c r="H84" i="1"/>
  <c r="H78" i="1"/>
  <c r="H72" i="1"/>
  <c r="H52" i="1"/>
  <c r="H46" i="1"/>
  <c r="H40" i="1"/>
  <c r="H34" i="1"/>
  <c r="H29" i="1"/>
  <c r="H23" i="1"/>
  <c r="H17" i="1"/>
  <c r="H18" i="1"/>
  <c r="H33" i="1"/>
  <c r="H15" i="1"/>
  <c r="H30" i="1"/>
  <c r="H28" i="1"/>
  <c r="H22" i="1"/>
  <c r="H16" i="1"/>
  <c r="H11" i="1"/>
  <c r="H12" i="1"/>
  <c r="H10" i="1"/>
  <c r="H24" i="1"/>
  <c r="H21" i="1"/>
  <c r="H19" i="1"/>
  <c r="H25" i="1"/>
  <c r="H31" i="1"/>
  <c r="H14" i="1"/>
  <c r="H20" i="1"/>
  <c r="H26" i="1"/>
  <c r="H32" i="1"/>
  <c r="H27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<sst xmlns="http://schemas.openxmlformats.org/spreadsheetml/2006/main" count="5" uniqueCount="5">
  <si>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x-values</t>
  </si>
  <si>
    <t>y-values</t>
  </si>
  <si>
    <t>xlims</t>
  </si>
  <si>
    <t>ylims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</si>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</sst>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F9:U97"/>
  <sheetViews>
    <sheetView tabSelected="1" zoomScale="70" zoomScaleNormal="70" workbookViewId="0">
      <selection activeCell="K12" sqref="K12"/>
    </sheetView>
  </sheetViews>
  <sheetFormatPr defaultRowHeight="15" x14ac:dyDescent="0.25"/>
  <cols>
    <col min="2" max="2" width="14.42578125" customWidth="1"/>
    <col min="3" max="3" width="24.28515625" customWidth="1"/>
    <col min="8" max="8" width="18.140625" customWidth="1"/>
    <col min="15" max="15" width="13.42578125" customWidth="1"/>
    <col min="18" max="18" width="11.85546875" customWidth="1"/>
  </cols>
  <sheetData>
    <row r="9" spans="6:21" x14ac:dyDescent="0.25">
      <c r="F9">
        <v>321123</v>
      </c>
      <c r="G9">
        <f>F9*13</f>
        <v>4174599</v>
      </c>
      <c r="H9" t="e" cm="1">
        <f t="array" aca="1" ref="H9" ca="1">dummy(F9, G9)</f>
        <v>#NAME?</v>
      </c>
    </row>
    <row r="10" spans="6:21" x14ac:dyDescent="0.25">
      <c r="F10">
        <v>12321</v>
      </c>
      <c r="G10">
        <f t="shared" ref="G10:G87" si="0">F10*13</f>
        <v>160173</v>
      </c>
      <c r="H10" t="e" cm="1">
        <f t="array" aca="1" ref="H10" ca="1">dummy(F10, G10)</f>
        <v>#NAME?</v>
      </c>
    </row>
    <row r="11" spans="6:21" x14ac:dyDescent="0.25">
      <c r="F11">
        <v>231213</v>
      </c>
      <c r="G11">
        <f t="shared" si="0"/>
        <v>3005769</v>
      </c>
      <c r="H11" t="e" cm="1">
        <f t="array" aca="1" ref="H11" ca="1">dummy(F11, G11)</f>
        <v>#NAME?</v>
      </c>
    </row>
    <row r="12" spans="6:21" x14ac:dyDescent="0.25">
      <c r="F12">
        <v>231231</v>
      </c>
      <c r="G12">
        <f t="shared" si="0"/>
        <v>3006003</v>
      </c>
      <c r="H12" t="e" cm="1">
        <f t="array" aca="1" ref="H12" ca="1">dummy(F12, G12)</f>
        <v>#NAME?</v>
      </c>
    </row>
    <row r="13" spans="6:21" x14ac:dyDescent="0.25">
      <c r="F13">
        <v>186276</v>
      </c>
      <c r="G13">
        <f t="shared" si="0"/>
        <v>2421588</v>
      </c>
      <c r="H13" t="e" cm="1">
        <f t="array" aca="1" ref="H13" ca="1">dummy(F13, G13)</f>
        <v>#NAME?</v>
      </c>
      <c r="L13" t="s">
        <v>0</v>
      </c>
      <c r="M13" t="s">
        <v>1</v>
      </c>
      <c r="O13" t="s">
        <v>2</v>
      </c>
      <c r="P13" t="s">
        <v>3</v>
      </c>
      <c r="R13" t="str" cm="1">
        <f t="array" ref="R13:R18">get_args_of_function("py_plot")</f>
        <v>xdata</v>
      </c>
      <c r="S13" t="str" cm="1">
        <f t="array" ref="S13">TRANSPOSE(decon(L14:L69))</f>
        <v>[[0.0], [0.2], [0.3], [0.3], [0.45], [0.55], [0.65], [0.75], [0.85], [0.95], [1.05], [1.15], [1.25], [1.35], [1.45], [1.55], [1.65], [1.75], [1.85], [1.95], [2.05], [2.15], [2.25], [2.35], [2.45], [2.55], [2.65], [2.75], [2.85], [2.95], [3.05], [3.15], [3.25], [3.35], [3.45], [3.55], [3.65], [3.75], [3.85], [3.95], [4.05], [4.15], [4.25], [4.35], [4.45], [4.55], [4.65], [4.75], [4.85], [4.95], [5.05], [5.15], [5.25], [5.35], [5.45], [5.55]]</v>
      </c>
      <c r="U13" t="str" cm="1">
        <f t="array" ref="U13">jsonize(R13:S18)</f>
        <v>{
  "xdata": "[[0.0], [0.2], [0.3], [0.3], [0.45], [0.55], [0.65], [0.75], [0.85], [0.95], [1.05], [1.15], [1.25], [1.35], [1.45], [1.55], [1.65], [1.75], [1.85], [1.95], [2.05], [2.15], [2.25], [2.35], [2.45], [2.55], [2.65], [2.75], [2.85], [2.95], [3.05], [3.15], [3.25], [3.35], [3.45], [3.55], [3.65], [3.75], [3.85], [3.95], [4.05], [4.15], [4.25], [4.35], [4.45], [4.55], [4.65], [4.75], [4.85], [4.95], [5.05], [5.15], [5.25], [5.35], [5.45], [5.55]]",
  "ydata": "[[0.0], [0.19866933079506122], [0.29552020666133955], [0.29552020666133955], [0.43496553411123023], [0.5226872289306592], [0.6051864057360395], [0.6816387600233341], [0.7512804051402927], [0.8134155047893737], [0.867423225594017], [0.912763940260521], [0.9489846193555862], [0.9757233578266591], [0.9927129910375885], [0.999783764189357], [0.9968650284539189], [0.9839859468739369], [0.9612752029752999], [0.9289597150038693], [0.8873623686333755], [0.8368987907984977], [0.7780731968879212], [0.7114733527908443], [0.6377647021345036], [0.557683717391417], [0.47203054128988264], [0.38166099205233167], [0.2874780123425444], [0.19042264736102704], [0.0914646422324372], [-0.008407247367148618], [-0.10819513453010837], [-0.20690197167339977], [-0.30354151270842933], [-0.3971481672859598], [-0.48678664865569937], [-0.5715613187423437], [-0.6506251370651673], [-0.7231881240865121], [-0.788525254426195], [-0.8459837010754465], [-0.8949893582285835], [-0.9350525775584491], [-0.9657730606206388], [-0.9868438585032365], [-0.9980544387588794], [-0.999292788975378], [-0.9905465359667133], [-0.9719030694018208], [-0.9435486686359066], [-0.9057666414687044], [-0.858934493426592], [-0.8035201558521559], [-0.7400773104888944], [-0.669239857276262]]",
  "xlims": "[[0.0], [10.0]]",
  "ylims": "[[-2.0], [2.0]]",
  "xaxislabel": "x-values",
  "yaxislabel": "y-values"
}</v>
      </c>
    </row>
    <row r="14" spans="6:21" x14ac:dyDescent="0.25">
      <c r="F14">
        <v>181197.6</v>
      </c>
      <c r="G14">
        <f t="shared" si="0"/>
        <v>2355568.8000000003</v>
      </c>
      <c r="H14" t="e" cm="1">
        <f t="array" aca="1" ref="H14" ca="1">dummy(F14, G14)</f>
        <v>#NAME?</v>
      </c>
      <c r="L14">
        <v>0</v>
      </c>
      <c r="M14">
        <f t="shared" ref="M14" si="1">SIN(L14)</f>
        <v>0</v>
      </c>
      <c r="O14">
        <v>0</v>
      </c>
      <c r="P14">
        <v>-2</v>
      </c>
      <c r="R14" t="str">
        <v>ydata</v>
      </c>
      <c r="S14" t="str" cm="1">
        <f t="array" ref="S14">decon(M14:M69)</f>
        <v>[[0.0], [0.19866933079506122], [0.29552020666133955], [0.29552020666133955], [0.43496553411123023], [0.5226872289306592], [0.6051864057360395], [0.6816387600233341], [0.7512804051402927], [0.8134155047893737], [0.867423225594017], [0.912763940260521], [0.9489846193555862], [0.9757233578266591], [0.9927129910375885], [0.999783764189357], [0.9968650284539189], [0.9839859468739369], [0.9612752029752999], [0.9289597150038693], [0.8873623686333755], [0.8368987907984977], [0.7780731968879212], [0.7114733527908443], [0.6377647021345036], [0.557683717391417], [0.47203054128988264], [0.38166099205233167], [0.2874780123425444], [0.19042264736102704], [0.0914646422324372], [-0.008407247367148618], [-0.10819513453010837], [-0.20690197167339977], [-0.30354151270842933], [-0.3971481672859598], [-0.48678664865569937], [-0.5715613187423437], [-0.6506251370651673], [-0.7231881240865121], [-0.788525254426195], [-0.8459837010754465], [-0.8949893582285835], [-0.9350525775584491], [-0.9657730606206388], [-0.9868438585032365], [-0.9980544387588794], [-0.999292788975378], [-0.9905465359667133], [-0.9719030694018208], [-0.9435486686359066], [-0.9057666414687044], [-0.858934493426592], [-0.8035201558521559], [-0.7400773104888944], [-0.669239857276262]]</v>
      </c>
      <c r="U14" t="s">
        <v>4</v>
      </c>
    </row>
    <row r="15" spans="6:21" x14ac:dyDescent="0.25">
      <c r="F15">
        <v>176119.2</v>
      </c>
      <c r="G15">
        <f t="shared" si="0"/>
        <v>2289549.6</v>
      </c>
      <c r="H15" t="e" cm="1">
        <f t="array" aca="1" ref="H15" ca="1">dummy(F15, G15)</f>
        <v>#NAME?</v>
      </c>
      <c r="L15">
        <v>0.2</v>
      </c>
      <c r="M15">
        <f>SIN(L15)</f>
        <v>0.19866933079506122</v>
      </c>
      <c r="O15">
        <v>10</v>
      </c>
      <c r="P15">
        <v>2</v>
      </c>
      <c r="R15" t="str">
        <v>xlims</v>
      </c>
      <c r="S15" t="str" cm="1">
        <f t="array" ref="S15">decon(O14:O15)</f>
        <v>[[0.0], [10.0]]</v>
      </c>
    </row>
    <row r="16" spans="6:21" x14ac:dyDescent="0.25">
      <c r="F16">
        <v>171040.8</v>
      </c>
      <c r="G16">
        <f t="shared" si="0"/>
        <v>2223530.4</v>
      </c>
      <c r="H16" t="e" cm="1">
        <f t="array" aca="1" ref="H16" ca="1">dummy(F16, G16)</f>
        <v>#NAME?</v>
      </c>
      <c r="L16">
        <v>0.3</v>
      </c>
      <c r="M16">
        <f t="shared" ref="M16:M69" si="2">SIN(L16)</f>
        <v>0.29552020666133955</v>
      </c>
      <c r="R16" t="str">
        <v>ylims</v>
      </c>
      <c r="S16" t="str" cm="1">
        <f t="array" ref="S16">decon(P14:P15)</f>
        <v>[[-2.0], [2.0]]</v>
      </c>
    </row>
    <row r="17" spans="6:19" x14ac:dyDescent="0.25">
      <c r="F17">
        <v>165962.4</v>
      </c>
      <c r="G17">
        <f t="shared" si="0"/>
        <v>2157511.1999999997</v>
      </c>
      <c r="H17" t="e" cm="1">
        <f t="array" aca="1" ref="H17" ca="1">dummy(F17, G17)</f>
        <v>#NAME?</v>
      </c>
      <c r="L17">
        <v>0.3</v>
      </c>
      <c r="M17">
        <f t="shared" si="2"/>
        <v>0.29552020666133955</v>
      </c>
      <c r="R17" t="str">
        <v>xaxislabel</v>
      </c>
      <c r="S17" t="str">
        <f>L13</f>
        <v>x-values</v>
      </c>
    </row>
    <row r="18" spans="6:19" x14ac:dyDescent="0.25">
      <c r="F18">
        <v>160884</v>
      </c>
      <c r="G18">
        <f t="shared" si="0"/>
        <v>2091492</v>
      </c>
      <c r="H18" t="e" cm="1">
        <f t="array" aca="1" ref="H18" ca="1">dummy(F18, G18)</f>
        <v>#NAME?</v>
      </c>
      <c r="L18">
        <v>0.45</v>
      </c>
      <c r="M18">
        <f t="shared" si="2"/>
        <v>0.43496553411123023</v>
      </c>
      <c r="R18" t="str">
        <v>yaxislabel</v>
      </c>
      <c r="S18" t="str">
        <f>M13</f>
        <v>y-values</v>
      </c>
    </row>
    <row r="19" spans="6:19" x14ac:dyDescent="0.25">
      <c r="F19">
        <v>155805.6</v>
      </c>
      <c r="G19">
        <f t="shared" si="0"/>
        <v>2025472.8</v>
      </c>
      <c r="H19" t="e" cm="1">
        <f t="array" aca="1" ref="H19" ca="1">dummy(F19, G19)</f>
        <v>#NAME?</v>
      </c>
      <c r="L19">
        <v>0.55000000000000004</v>
      </c>
      <c r="M19">
        <f t="shared" si="2"/>
        <v>0.52268722893065922</v>
      </c>
    </row>
    <row r="20" spans="6:19" x14ac:dyDescent="0.25">
      <c r="F20">
        <v>150727.20000000001</v>
      </c>
      <c r="G20">
        <f t="shared" si="0"/>
        <v>1959453.6</v>
      </c>
      <c r="H20" t="e" cm="1">
        <f t="array" aca="1" ref="H20" ca="1">dummy(F20, G20)</f>
        <v>#NAME?</v>
      </c>
      <c r="L20">
        <v>0.65</v>
      </c>
      <c r="M20">
        <f t="shared" si="2"/>
        <v>0.60518640573603955</v>
      </c>
    </row>
    <row r="21" spans="6:19" x14ac:dyDescent="0.25">
      <c r="F21">
        <v>145648.79999999999</v>
      </c>
      <c r="G21">
        <f t="shared" si="0"/>
        <v>1893434.4</v>
      </c>
      <c r="H21" t="e" cm="1">
        <f t="array" aca="1" ref="H21" ca="1">dummy(F21, G21)</f>
        <v>#NAME?</v>
      </c>
      <c r="L21">
        <v>0.75</v>
      </c>
      <c r="M21">
        <f t="shared" si="2"/>
        <v>0.68163876002333412</v>
      </c>
    </row>
    <row r="22" spans="6:19" x14ac:dyDescent="0.25">
      <c r="F22">
        <v>140570.4</v>
      </c>
      <c r="G22">
        <f t="shared" si="0"/>
        <v>1827415.2</v>
      </c>
      <c r="H22" t="e" cm="1">
        <f t="array" aca="1" ref="H22" ca="1">dummy(F22, G22)</f>
        <v>#NAME?</v>
      </c>
      <c r="L22">
        <v>0.85</v>
      </c>
      <c r="M22">
        <f t="shared" si="2"/>
        <v>0.75128040514029271</v>
      </c>
    </row>
    <row r="23" spans="6:19" x14ac:dyDescent="0.25">
      <c r="F23">
        <v>135492</v>
      </c>
      <c r="G23">
        <f t="shared" si="0"/>
        <v>1761396</v>
      </c>
      <c r="H23" t="e" cm="1">
        <f t="array" aca="1" ref="H23" ca="1">dummy(F23, G23)</f>
        <v>#NAME?</v>
      </c>
      <c r="L23">
        <v>0.95</v>
      </c>
      <c r="M23">
        <f t="shared" si="2"/>
        <v>0.81341550478937374</v>
      </c>
    </row>
    <row r="24" spans="6:19" x14ac:dyDescent="0.25">
      <c r="F24">
        <v>130413.6</v>
      </c>
      <c r="G24">
        <f t="shared" si="0"/>
        <v>1695376.8</v>
      </c>
      <c r="H24" t="e" cm="1">
        <f t="array" aca="1" ref="H24" ca="1">dummy(F24, G24)</f>
        <v>#NAME?</v>
      </c>
      <c r="L24">
        <v>1.05</v>
      </c>
      <c r="M24">
        <f t="shared" si="2"/>
        <v>0.86742322559401697</v>
      </c>
    </row>
    <row r="25" spans="6:19" x14ac:dyDescent="0.25">
      <c r="F25">
        <v>125335.2</v>
      </c>
      <c r="G25">
        <f t="shared" si="0"/>
        <v>1629357.5999999999</v>
      </c>
      <c r="H25" t="e" cm="1">
        <f t="array" aca="1" ref="H25" ca="1">dummy(F25, G25)</f>
        <v>#NAME?</v>
      </c>
      <c r="L25">
        <v>1.1499999999999999</v>
      </c>
      <c r="M25">
        <f t="shared" si="2"/>
        <v>0.91276394026052099</v>
      </c>
    </row>
    <row r="26" spans="6:19" x14ac:dyDescent="0.25">
      <c r="F26">
        <v>120256.8</v>
      </c>
      <c r="G26">
        <f t="shared" si="0"/>
        <v>1563338.4000000001</v>
      </c>
      <c r="H26" t="e" cm="1">
        <f t="array" aca="1" ref="H26" ca="1">dummy(F26, G26)</f>
        <v>#NAME?</v>
      </c>
      <c r="L26">
        <v>1.25</v>
      </c>
      <c r="M26">
        <f t="shared" si="2"/>
        <v>0.9489846193555862</v>
      </c>
    </row>
    <row r="27" spans="6:19" x14ac:dyDescent="0.25">
      <c r="F27">
        <v>115178.4</v>
      </c>
      <c r="G27">
        <f t="shared" si="0"/>
        <v>1497319.2</v>
      </c>
      <c r="H27" t="e" cm="1">
        <f t="array" aca="1" ref="H27" ca="1">dummy(F27, G27)</f>
        <v>#NAME?</v>
      </c>
      <c r="L27">
        <v>1.35</v>
      </c>
      <c r="M27">
        <f t="shared" si="2"/>
        <v>0.97572335782665909</v>
      </c>
    </row>
    <row r="28" spans="6:19" x14ac:dyDescent="0.25">
      <c r="F28">
        <v>110100</v>
      </c>
      <c r="G28">
        <f t="shared" si="0"/>
        <v>1431300</v>
      </c>
      <c r="H28" t="e" cm="1">
        <f t="array" aca="1" ref="H28" ca="1">dummy(F28, G28)</f>
        <v>#NAME?</v>
      </c>
      <c r="L28">
        <v>1.45</v>
      </c>
      <c r="M28">
        <f t="shared" si="2"/>
        <v>0.99271299103758848</v>
      </c>
    </row>
    <row r="29" spans="6:19" x14ac:dyDescent="0.25">
      <c r="F29">
        <v>105021.6</v>
      </c>
      <c r="G29">
        <f t="shared" si="0"/>
        <v>1365280.8</v>
      </c>
      <c r="H29" t="e" cm="1">
        <f t="array" aca="1" ref="H29" ca="1">dummy(F29, G29)</f>
        <v>#NAME?</v>
      </c>
      <c r="L29">
        <v>1.55</v>
      </c>
      <c r="M29">
        <f t="shared" si="2"/>
        <v>0.99978376418935699</v>
      </c>
    </row>
    <row r="30" spans="6:19" x14ac:dyDescent="0.25">
      <c r="F30">
        <v>99943.2</v>
      </c>
      <c r="G30">
        <f t="shared" si="0"/>
        <v>1299261.5999999999</v>
      </c>
      <c r="H30" t="e" cm="1">
        <f t="array" aca="1" ref="H30" ca="1">dummy(F30, G30)</f>
        <v>#NAME?</v>
      </c>
      <c r="L30">
        <v>1.65</v>
      </c>
      <c r="M30">
        <f t="shared" si="2"/>
        <v>0.99686502845391889</v>
      </c>
    </row>
    <row r="31" spans="6:19" x14ac:dyDescent="0.25">
      <c r="F31">
        <v>94864.8</v>
      </c>
      <c r="G31">
        <f t="shared" si="0"/>
        <v>1233242.4000000001</v>
      </c>
      <c r="H31" t="e" cm="1">
        <f t="array" aca="1" ref="H31" ca="1">dummy(F31, G31)</f>
        <v>#NAME?</v>
      </c>
      <c r="L31">
        <v>1.75</v>
      </c>
      <c r="M31">
        <f t="shared" si="2"/>
        <v>0.98398594687393692</v>
      </c>
    </row>
    <row r="32" spans="6:19" x14ac:dyDescent="0.25">
      <c r="F32">
        <v>89786.4</v>
      </c>
      <c r="G32">
        <f t="shared" si="0"/>
        <v>1167223.2</v>
      </c>
      <c r="H32" t="e" cm="1">
        <f t="array" aca="1" ref="H32" ca="1">dummy(F32, G32)</f>
        <v>#NAME?</v>
      </c>
      <c r="L32">
        <v>1.85</v>
      </c>
      <c r="M32">
        <f t="shared" si="2"/>
        <v>0.96127520297529989</v>
      </c>
    </row>
    <row r="33" spans="6:13" x14ac:dyDescent="0.25">
      <c r="F33">
        <v>84708</v>
      </c>
      <c r="G33">
        <f t="shared" si="0"/>
        <v>1101204</v>
      </c>
      <c r="H33" t="e" cm="1">
        <f t="array" aca="1" ref="H33" ca="1">dummy(F33, G33)</f>
        <v>#NAME?</v>
      </c>
      <c r="L33">
        <v>1.95</v>
      </c>
      <c r="M33">
        <f t="shared" si="2"/>
        <v>0.92895971500386931</v>
      </c>
    </row>
    <row r="34" spans="6:13" x14ac:dyDescent="0.25">
      <c r="F34">
        <v>79629.600000000006</v>
      </c>
      <c r="G34">
        <f t="shared" si="0"/>
        <v>1035184.8</v>
      </c>
      <c r="H34" t="e" cm="1">
        <f t="array" aca="1" ref="H34" ca="1">dummy(F34, G34)</f>
        <v>#NAME?</v>
      </c>
      <c r="L34">
        <v>2.0499999999999998</v>
      </c>
      <c r="M34">
        <f t="shared" si="2"/>
        <v>0.88736236863337548</v>
      </c>
    </row>
    <row r="35" spans="6:13" x14ac:dyDescent="0.25">
      <c r="F35">
        <v>74551.199999999997</v>
      </c>
      <c r="G35">
        <f t="shared" si="0"/>
        <v>969165.6</v>
      </c>
      <c r="H35" t="e" cm="1">
        <f t="array" aca="1" ref="H35" ca="1">dummy(F35, G35)</f>
        <v>#NAME?</v>
      </c>
      <c r="L35">
        <v>2.15</v>
      </c>
      <c r="M35">
        <f t="shared" si="2"/>
        <v>0.83689879079849772</v>
      </c>
    </row>
    <row r="36" spans="6:13" x14ac:dyDescent="0.25">
      <c r="F36">
        <v>69472.800000000003</v>
      </c>
      <c r="G36">
        <f t="shared" si="0"/>
        <v>903146.4</v>
      </c>
      <c r="H36" t="e" cm="1">
        <f t="array" aca="1" ref="H36" ca="1">dummy(F36, G36)</f>
        <v>#NAME?</v>
      </c>
      <c r="L36">
        <v>2.25</v>
      </c>
      <c r="M36">
        <f t="shared" si="2"/>
        <v>0.7780731968879212</v>
      </c>
    </row>
    <row r="37" spans="6:13" x14ac:dyDescent="0.25">
      <c r="F37">
        <v>64394.400000000001</v>
      </c>
      <c r="G37">
        <f t="shared" si="0"/>
        <v>837127.20000000007</v>
      </c>
      <c r="H37" t="e" cm="1">
        <f t="array" aca="1" ref="H37" ca="1">dummy(F37, G37)</f>
        <v>#NAME?</v>
      </c>
      <c r="L37">
        <v>2.35</v>
      </c>
      <c r="M37">
        <f t="shared" si="2"/>
        <v>0.71147335279084434</v>
      </c>
    </row>
    <row r="38" spans="6:13" x14ac:dyDescent="0.25">
      <c r="F38">
        <v>59316</v>
      </c>
      <c r="G38">
        <f t="shared" si="0"/>
        <v>771108</v>
      </c>
      <c r="H38" t="e" cm="1">
        <f t="array" aca="1" ref="H38" ca="1">dummy(F38, G38)</f>
        <v>#NAME?</v>
      </c>
      <c r="L38">
        <v>2.4500000000000002</v>
      </c>
      <c r="M38">
        <f t="shared" si="2"/>
        <v>0.63776470213450365</v>
      </c>
    </row>
    <row r="39" spans="6:13" x14ac:dyDescent="0.25">
      <c r="F39">
        <v>54237.599999999999</v>
      </c>
      <c r="G39">
        <f t="shared" si="0"/>
        <v>705088.79999999993</v>
      </c>
      <c r="H39" t="e" cm="1">
        <f t="array" aca="1" ref="H39" ca="1">dummy(F39, G39)</f>
        <v>#NAME?</v>
      </c>
      <c r="L39">
        <v>2.5499999999999998</v>
      </c>
      <c r="M39">
        <f t="shared" si="2"/>
        <v>0.55768371739141698</v>
      </c>
    </row>
    <row r="40" spans="6:13" x14ac:dyDescent="0.25">
      <c r="F40">
        <v>49159.199999999997</v>
      </c>
      <c r="G40">
        <f t="shared" si="0"/>
        <v>639069.6</v>
      </c>
      <c r="H40" t="e" cm="1">
        <f t="array" aca="1" ref="H40" ca="1">dummy(F40, G40)</f>
        <v>#NAME?</v>
      </c>
      <c r="L40">
        <v>2.65</v>
      </c>
      <c r="M40">
        <f t="shared" si="2"/>
        <v>0.47203054128988264</v>
      </c>
    </row>
    <row r="41" spans="6:13" x14ac:dyDescent="0.25">
      <c r="F41">
        <v>44080.800000000003</v>
      </c>
      <c r="G41">
        <f t="shared" si="0"/>
        <v>573050.4</v>
      </c>
      <c r="H41" t="e" cm="1">
        <f t="array" aca="1" ref="H41" ca="1">dummy(F41, G41)</f>
        <v>#NAME?</v>
      </c>
      <c r="L41">
        <v>2.75</v>
      </c>
      <c r="M41">
        <f t="shared" si="2"/>
        <v>0.38166099205233167</v>
      </c>
    </row>
    <row r="42" spans="6:13" x14ac:dyDescent="0.25">
      <c r="F42">
        <v>39002.400000000001</v>
      </c>
      <c r="G42">
        <f t="shared" si="0"/>
        <v>507031.2</v>
      </c>
      <c r="H42" t="e" cm="1">
        <f t="array" aca="1" ref="H42" ca="1">dummy(F42, G42)</f>
        <v>#NAME?</v>
      </c>
      <c r="L42">
        <v>2.85</v>
      </c>
      <c r="M42">
        <f t="shared" si="2"/>
        <v>0.28747801234254439</v>
      </c>
    </row>
    <row r="43" spans="6:13" x14ac:dyDescent="0.25">
      <c r="F43">
        <v>33924</v>
      </c>
      <c r="G43">
        <f t="shared" si="0"/>
        <v>441012</v>
      </c>
      <c r="H43" t="e" cm="1">
        <f t="array" aca="1" ref="H43" ca="1">dummy(F43, G43)</f>
        <v>#NAME?</v>
      </c>
      <c r="L43">
        <v>2.95</v>
      </c>
      <c r="M43">
        <f t="shared" si="2"/>
        <v>0.19042264736102704</v>
      </c>
    </row>
    <row r="44" spans="6:13" x14ac:dyDescent="0.25">
      <c r="F44">
        <v>28845.599999999999</v>
      </c>
      <c r="G44">
        <f t="shared" si="0"/>
        <v>374992.8</v>
      </c>
      <c r="H44" t="e" cm="1">
        <f t="array" aca="1" ref="H44" ca="1">dummy(F44, G44)</f>
        <v>#NAME?</v>
      </c>
      <c r="L44">
        <v>3.05</v>
      </c>
      <c r="M44">
        <f t="shared" si="2"/>
        <v>9.1464642232437193E-2</v>
      </c>
    </row>
    <row r="45" spans="6:13" x14ac:dyDescent="0.25">
      <c r="F45">
        <v>23767.200000000001</v>
      </c>
      <c r="G45">
        <f t="shared" si="0"/>
        <v>308973.60000000003</v>
      </c>
      <c r="H45" t="e" cm="1">
        <f t="array" aca="1" ref="H45" ca="1">dummy(F45, G45)</f>
        <v>#NAME?</v>
      </c>
      <c r="L45">
        <v>3.15</v>
      </c>
      <c r="M45">
        <f t="shared" si="2"/>
        <v>-8.4072473671486184E-3</v>
      </c>
    </row>
    <row r="46" spans="6:13" x14ac:dyDescent="0.25">
      <c r="F46">
        <v>18688.8</v>
      </c>
      <c r="G46">
        <f t="shared" si="0"/>
        <v>242954.4</v>
      </c>
      <c r="H46" t="e" cm="1">
        <f t="array" aca="1" ref="H46" ca="1">dummy(F46, G46)</f>
        <v>#NAME?</v>
      </c>
      <c r="L46">
        <v>3.25</v>
      </c>
      <c r="M46">
        <f t="shared" si="2"/>
        <v>-0.10819513453010837</v>
      </c>
    </row>
    <row r="47" spans="6:13" x14ac:dyDescent="0.25">
      <c r="F47">
        <v>13610.4</v>
      </c>
      <c r="G47">
        <f t="shared" si="0"/>
        <v>176935.19999999998</v>
      </c>
      <c r="H47" t="e" cm="1">
        <f t="array" aca="1" ref="H47" ca="1">dummy(F47, G47)</f>
        <v>#NAME?</v>
      </c>
      <c r="L47">
        <v>3.35</v>
      </c>
      <c r="M47">
        <f t="shared" si="2"/>
        <v>-0.20690197167339977</v>
      </c>
    </row>
    <row r="48" spans="6:13" x14ac:dyDescent="0.25">
      <c r="F48">
        <v>8532.0000000000291</v>
      </c>
      <c r="G48">
        <f t="shared" si="0"/>
        <v>110916.00000000038</v>
      </c>
      <c r="H48" t="e" cm="1">
        <f t="array" aca="1" ref="H48" ca="1">dummy(F48, G48)</f>
        <v>#NAME?</v>
      </c>
      <c r="L48">
        <v>3.45</v>
      </c>
      <c r="M48">
        <f t="shared" si="2"/>
        <v>-0.30354151270842933</v>
      </c>
    </row>
    <row r="49" spans="6:13" x14ac:dyDescent="0.25">
      <c r="F49">
        <v>3453.6000000000299</v>
      </c>
      <c r="G49">
        <f t="shared" si="0"/>
        <v>44896.800000000389</v>
      </c>
      <c r="H49" t="e" cm="1">
        <f t="array" aca="1" ref="H49" ca="1">dummy(F49, G49)</f>
        <v>#NAME?</v>
      </c>
      <c r="L49">
        <v>3.55</v>
      </c>
      <c r="M49">
        <f t="shared" si="2"/>
        <v>-0.39714816728595981</v>
      </c>
    </row>
    <row r="50" spans="6:13" x14ac:dyDescent="0.25">
      <c r="F50">
        <v>-1624.7999999999599</v>
      </c>
      <c r="G50">
        <f t="shared" si="0"/>
        <v>-21122.399999999478</v>
      </c>
      <c r="H50" t="e" cm="1">
        <f t="array" aca="1" ref="H50" ca="1">dummy(F50, G50)</f>
        <v>#NAME?</v>
      </c>
      <c r="L50">
        <v>3.65</v>
      </c>
      <c r="M50">
        <f t="shared" si="2"/>
        <v>-0.48678664865569937</v>
      </c>
    </row>
    <row r="51" spans="6:13" x14ac:dyDescent="0.25">
      <c r="F51">
        <v>-6703.1999999999498</v>
      </c>
      <c r="G51">
        <f t="shared" si="0"/>
        <v>-87141.599999999351</v>
      </c>
      <c r="H51" t="e" cm="1">
        <f t="array" aca="1" ref="H51" ca="1">dummy(F51, G51)</f>
        <v>#NAME?</v>
      </c>
      <c r="L51">
        <v>3.75</v>
      </c>
      <c r="M51">
        <f t="shared" si="2"/>
        <v>-0.57156131874234373</v>
      </c>
    </row>
    <row r="52" spans="6:13" x14ac:dyDescent="0.25">
      <c r="F52">
        <v>-11781.6</v>
      </c>
      <c r="G52">
        <f t="shared" si="0"/>
        <v>-153160.80000000002</v>
      </c>
      <c r="H52" t="e" cm="1">
        <f t="array" aca="1" ref="H52" ca="1">dummy(F52, G52)</f>
        <v>#NAME?</v>
      </c>
      <c r="L52">
        <v>3.85</v>
      </c>
      <c r="M52">
        <f t="shared" si="2"/>
        <v>-0.65062513706516734</v>
      </c>
    </row>
    <row r="53" spans="6:13" x14ac:dyDescent="0.25">
      <c r="F53">
        <v>-16860</v>
      </c>
      <c r="G53">
        <f t="shared" si="0"/>
        <v>-219180</v>
      </c>
      <c r="H53" t="e" cm="1">
        <f t="array" aca="1" ref="H53" ca="1">dummy(F53, G53)</f>
        <v>#NAME?</v>
      </c>
      <c r="L53">
        <v>3.95</v>
      </c>
      <c r="M53">
        <f t="shared" si="2"/>
        <v>-0.72318812408651212</v>
      </c>
    </row>
    <row r="54" spans="6:13" x14ac:dyDescent="0.25">
      <c r="L54">
        <v>4.05</v>
      </c>
      <c r="M54">
        <f t="shared" si="2"/>
        <v>-0.78852525442619503</v>
      </c>
    </row>
    <row r="55" spans="6:13" x14ac:dyDescent="0.25">
      <c r="L55">
        <v>4.1500000000000004</v>
      </c>
      <c r="M55">
        <f t="shared" si="2"/>
        <v>-0.84598370107544651</v>
      </c>
    </row>
    <row r="56" spans="6:13" x14ac:dyDescent="0.25">
      <c r="L56">
        <v>4.25</v>
      </c>
      <c r="M56">
        <f t="shared" si="2"/>
        <v>-0.8949893582285835</v>
      </c>
    </row>
    <row r="57" spans="6:13" x14ac:dyDescent="0.25">
      <c r="L57">
        <v>4.3499999999999996</v>
      </c>
      <c r="M57">
        <f t="shared" si="2"/>
        <v>-0.93505257755844906</v>
      </c>
    </row>
    <row r="58" spans="6:13" x14ac:dyDescent="0.25">
      <c r="L58">
        <v>4.45</v>
      </c>
      <c r="M58">
        <f t="shared" si="2"/>
        <v>-0.96577306062063883</v>
      </c>
    </row>
    <row r="59" spans="6:13" x14ac:dyDescent="0.25">
      <c r="L59">
        <v>4.55</v>
      </c>
      <c r="M59">
        <f t="shared" si="2"/>
        <v>-0.98684385850323653</v>
      </c>
    </row>
    <row r="60" spans="6:13" x14ac:dyDescent="0.25">
      <c r="L60">
        <v>4.6500000000000004</v>
      </c>
      <c r="M60">
        <f t="shared" si="2"/>
        <v>-0.99805443875887945</v>
      </c>
    </row>
    <row r="61" spans="6:13" x14ac:dyDescent="0.25">
      <c r="L61">
        <v>4.75</v>
      </c>
      <c r="M61">
        <f t="shared" si="2"/>
        <v>-0.99929278897537799</v>
      </c>
    </row>
    <row r="62" spans="6:13" x14ac:dyDescent="0.25">
      <c r="L62">
        <v>4.8499999999999996</v>
      </c>
      <c r="M62">
        <f t="shared" si="2"/>
        <v>-0.99054653596671327</v>
      </c>
    </row>
    <row r="63" spans="6:13" x14ac:dyDescent="0.25">
      <c r="L63">
        <v>4.95</v>
      </c>
      <c r="M63">
        <f t="shared" si="2"/>
        <v>-0.97190306940182081</v>
      </c>
    </row>
    <row r="64" spans="6:13" x14ac:dyDescent="0.25">
      <c r="L64">
        <v>5.05</v>
      </c>
      <c r="M64">
        <f t="shared" si="2"/>
        <v>-0.94354866863590658</v>
      </c>
    </row>
    <row r="65" spans="6:13" x14ac:dyDescent="0.25">
      <c r="L65">
        <v>5.15</v>
      </c>
      <c r="M65">
        <f t="shared" si="2"/>
        <v>-0.90576664146870445</v>
      </c>
    </row>
    <row r="66" spans="6:13" x14ac:dyDescent="0.25">
      <c r="L66">
        <v>5.25</v>
      </c>
      <c r="M66">
        <f t="shared" si="2"/>
        <v>-0.85893449342659201</v>
      </c>
    </row>
    <row r="67" spans="6:13" x14ac:dyDescent="0.25">
      <c r="L67">
        <v>5.35</v>
      </c>
      <c r="M67">
        <f t="shared" si="2"/>
        <v>-0.80352015585215586</v>
      </c>
    </row>
    <row r="68" spans="6:13" x14ac:dyDescent="0.25">
      <c r="F68">
        <v>-21938.400000000001</v>
      </c>
      <c r="G68">
        <f t="shared" si="0"/>
        <v>-285199.2</v>
      </c>
      <c r="H68" t="e" cm="1">
        <f t="array" aca="1" ref="H68" ca="1">dummy(F68, G68)</f>
        <v>#NAME?</v>
      </c>
      <c r="L68">
        <v>5.45</v>
      </c>
      <c r="M68">
        <f t="shared" si="2"/>
        <v>-0.74007731048889436</v>
      </c>
    </row>
    <row r="69" spans="6:13" x14ac:dyDescent="0.25">
      <c r="F69">
        <v>-27016.799999999999</v>
      </c>
      <c r="G69">
        <f t="shared" si="0"/>
        <v>-351218.39999999997</v>
      </c>
      <c r="H69" t="e" cm="1">
        <f t="array" aca="1" ref="H69" ca="1">dummy(F69, G69)</f>
        <v>#NAME?</v>
      </c>
      <c r="L69">
        <v>5.55</v>
      </c>
      <c r="M69">
        <f t="shared" si="2"/>
        <v>-0.66923985727626201</v>
      </c>
    </row>
    <row r="70" spans="6:13" x14ac:dyDescent="0.25">
      <c r="F70">
        <v>-32095.200000000001</v>
      </c>
      <c r="G70">
        <f t="shared" si="0"/>
        <v>-417237.60000000003</v>
      </c>
      <c r="H70" t="e" cm="1">
        <f t="array" aca="1" ref="H70" ca="1">dummy(F70, G70)</f>
        <v>#NAME?</v>
      </c>
    </row>
    <row r="71" spans="6:13" x14ac:dyDescent="0.25">
      <c r="F71">
        <v>-37173.599999999999</v>
      </c>
      <c r="G71">
        <f t="shared" si="0"/>
        <v>-483256.8</v>
      </c>
      <c r="H71" t="e" cm="1">
        <f t="array" aca="1" ref="H71" ca="1">dummy(F71, G71)</f>
        <v>#NAME?</v>
      </c>
    </row>
    <row r="72" spans="6:13" x14ac:dyDescent="0.25">
      <c r="F72">
        <v>-42252</v>
      </c>
      <c r="G72">
        <f t="shared" si="0"/>
        <v>-549276</v>
      </c>
      <c r="H72" t="e" cm="1">
        <f t="array" aca="1" ref="H72" ca="1">dummy(F72, G72)</f>
        <v>#NAME?</v>
      </c>
    </row>
    <row r="73" spans="6:13" x14ac:dyDescent="0.25">
      <c r="F73">
        <v>-47330.400000000001</v>
      </c>
      <c r="G73">
        <f t="shared" si="0"/>
        <v>-615295.20000000007</v>
      </c>
      <c r="H73" t="e" cm="1">
        <f t="array" aca="1" ref="H73" ca="1">dummy(F73, G73)</f>
        <v>#NAME?</v>
      </c>
    </row>
    <row r="74" spans="6:13" x14ac:dyDescent="0.25">
      <c r="F74">
        <v>-52408.800000000003</v>
      </c>
      <c r="G74">
        <f t="shared" si="0"/>
        <v>-681314.4</v>
      </c>
      <c r="H74" t="e" cm="1">
        <f t="array" aca="1" ref="H74" ca="1">dummy(F74, G74)</f>
        <v>#NAME?</v>
      </c>
    </row>
    <row r="75" spans="6:13" x14ac:dyDescent="0.25">
      <c r="F75">
        <v>-57487.199999999997</v>
      </c>
      <c r="G75">
        <f t="shared" si="0"/>
        <v>-747333.6</v>
      </c>
      <c r="H75" t="e" cm="1">
        <f t="array" aca="1" ref="H75" ca="1">dummy(F75, G75)</f>
        <v>#NAME?</v>
      </c>
    </row>
    <row r="76" spans="6:13" x14ac:dyDescent="0.25">
      <c r="F76">
        <v>-62565.599999999999</v>
      </c>
      <c r="G76">
        <f t="shared" si="0"/>
        <v>-813352.79999999993</v>
      </c>
      <c r="H76" t="e" cm="1">
        <f t="array" aca="1" ref="H76" ca="1">dummy(F76, G76)</f>
        <v>#NAME?</v>
      </c>
    </row>
    <row r="77" spans="6:13" x14ac:dyDescent="0.25">
      <c r="F77">
        <v>-67643.999999999898</v>
      </c>
      <c r="G77">
        <f t="shared" si="0"/>
        <v>-879371.99999999872</v>
      </c>
      <c r="H77" t="e" cm="1">
        <f t="array" aca="1" ref="H77" ca="1">dummy(F77, G77)</f>
        <v>#NAME?</v>
      </c>
    </row>
    <row r="78" spans="6:13" x14ac:dyDescent="0.25">
      <c r="F78">
        <v>-72722.399999999994</v>
      </c>
      <c r="G78">
        <f t="shared" si="0"/>
        <v>-945391.2</v>
      </c>
      <c r="H78" t="e" cm="1">
        <f t="array" aca="1" ref="H78" ca="1">dummy(F78, G78)</f>
        <v>#NAME?</v>
      </c>
    </row>
    <row r="79" spans="6:13" x14ac:dyDescent="0.25">
      <c r="F79">
        <v>-77800.800000000003</v>
      </c>
      <c r="G79">
        <f t="shared" si="0"/>
        <v>-1011410.4</v>
      </c>
      <c r="H79" t="e" cm="1">
        <f t="array" aca="1" ref="H79" ca="1">dummy(F79, G79)</f>
        <v>#NAME?</v>
      </c>
    </row>
    <row r="80" spans="6:13" x14ac:dyDescent="0.25">
      <c r="F80">
        <v>-82879.199999999997</v>
      </c>
      <c r="G80">
        <f t="shared" si="0"/>
        <v>-1077429.5999999999</v>
      </c>
      <c r="H80" t="e" cm="1">
        <f t="array" aca="1" ref="H80" ca="1">dummy(F80, G80)</f>
        <v>#NAME?</v>
      </c>
    </row>
    <row r="81" spans="6:8" x14ac:dyDescent="0.25">
      <c r="F81">
        <v>-87957.6</v>
      </c>
      <c r="G81">
        <f t="shared" si="0"/>
        <v>-1143448.8</v>
      </c>
      <c r="H81" t="e" cm="1">
        <f t="array" aca="1" ref="H81" ca="1">dummy(F81, G81)</f>
        <v>#NAME?</v>
      </c>
    </row>
    <row r="82" spans="6:8" x14ac:dyDescent="0.25">
      <c r="F82">
        <v>-93035.999999999898</v>
      </c>
      <c r="G82">
        <f t="shared" si="0"/>
        <v>-1209467.9999999986</v>
      </c>
      <c r="H82" t="e" cm="1">
        <f t="array" aca="1" ref="H82" ca="1">dummy(F82, G82)</f>
        <v>#NAME?</v>
      </c>
    </row>
    <row r="83" spans="6:8" x14ac:dyDescent="0.25">
      <c r="F83">
        <v>-98114.4</v>
      </c>
      <c r="G83">
        <f t="shared" si="0"/>
        <v>-1275487.2</v>
      </c>
      <c r="H83" t="e" cm="1">
        <f t="array" aca="1" ref="H83" ca="1">dummy(F83, G83)</f>
        <v>#NAME?</v>
      </c>
    </row>
    <row r="84" spans="6:8" x14ac:dyDescent="0.25">
      <c r="F84">
        <v>-103192.8</v>
      </c>
      <c r="G84">
        <f t="shared" si="0"/>
        <v>-1341506.4000000001</v>
      </c>
      <c r="H84" t="e" cm="1">
        <f t="array" aca="1" ref="H84" ca="1">dummy(F84, G84)</f>
        <v>#NAME?</v>
      </c>
    </row>
    <row r="85" spans="6:8" x14ac:dyDescent="0.25">
      <c r="F85">
        <v>-108271.2</v>
      </c>
      <c r="G85">
        <f t="shared" si="0"/>
        <v>-1407525.5999999999</v>
      </c>
      <c r="H85" t="e" cm="1">
        <f t="array" aca="1" ref="H85" ca="1">dummy(F85, G85)</f>
        <v>#NAME?</v>
      </c>
    </row>
    <row r="86" spans="6:8" x14ac:dyDescent="0.25">
      <c r="F86">
        <v>-113349.6</v>
      </c>
      <c r="G86">
        <f t="shared" si="0"/>
        <v>-1473544.8</v>
      </c>
      <c r="H86" t="e" cm="1">
        <f t="array" aca="1" ref="H86" ca="1">dummy(F86, G86)</f>
        <v>#NAME?</v>
      </c>
    </row>
    <row r="87" spans="6:8" x14ac:dyDescent="0.25">
      <c r="F87">
        <v>-118428</v>
      </c>
      <c r="G87">
        <f t="shared" si="0"/>
        <v>-1539564</v>
      </c>
      <c r="H87" t="e" cm="1">
        <f t="array" aca="1" ref="H87" ca="1">dummy(F87, G87)</f>
        <v>#NAME?</v>
      </c>
    </row>
    <row r="88" spans="6:8" x14ac:dyDescent="0.25">
      <c r="F88">
        <v>-123506.4</v>
      </c>
      <c r="G88">
        <f t="shared" ref="G88:G97" si="3">F88*13</f>
        <v>-1605583.2</v>
      </c>
      <c r="H88" t="e" cm="1">
        <f t="array" aca="1" ref="H88" ca="1">dummy(F88, G88)</f>
        <v>#NAME?</v>
      </c>
    </row>
    <row r="89" spans="6:8" x14ac:dyDescent="0.25">
      <c r="F89">
        <v>-128584.8</v>
      </c>
      <c r="G89">
        <f t="shared" si="3"/>
        <v>-1671602.4000000001</v>
      </c>
      <c r="H89" t="e" cm="1">
        <f t="array" aca="1" ref="H89" ca="1">dummy(F89, G89)</f>
        <v>#NAME?</v>
      </c>
    </row>
    <row r="90" spans="6:8" x14ac:dyDescent="0.25">
      <c r="F90">
        <v>-133663.20000000001</v>
      </c>
      <c r="G90">
        <f t="shared" si="3"/>
        <v>-1737621.6</v>
      </c>
      <c r="H90" t="e" cm="1">
        <f t="array" aca="1" ref="H90" ca="1">dummy(F90, G90)</f>
        <v>#NAME?</v>
      </c>
    </row>
    <row r="91" spans="6:8" x14ac:dyDescent="0.25">
      <c r="F91">
        <v>-138741.6</v>
      </c>
      <c r="G91">
        <f t="shared" si="3"/>
        <v>-1803640.8</v>
      </c>
      <c r="H91" t="e" cm="1">
        <f t="array" aca="1" ref="H91" ca="1">dummy(F91, G91)</f>
        <v>#NAME?</v>
      </c>
    </row>
    <row r="92" spans="6:8" x14ac:dyDescent="0.25">
      <c r="F92">
        <v>-143820</v>
      </c>
      <c r="G92">
        <f t="shared" si="3"/>
        <v>-1869660</v>
      </c>
      <c r="H92" t="e" cm="1">
        <f t="array" aca="1" ref="H92" ca="1">dummy(F92, G92)</f>
        <v>#NAME?</v>
      </c>
    </row>
    <row r="93" spans="6:8" x14ac:dyDescent="0.25">
      <c r="F93">
        <v>-148898.4</v>
      </c>
      <c r="G93">
        <f t="shared" si="3"/>
        <v>-1935679.2</v>
      </c>
      <c r="H93" t="e" cm="1">
        <f t="array" aca="1" ref="H93" ca="1">dummy(F93, G93)</f>
        <v>#NAME?</v>
      </c>
    </row>
    <row r="94" spans="6:8" x14ac:dyDescent="0.25">
      <c r="F94">
        <v>-153976.79999999999</v>
      </c>
      <c r="G94">
        <f t="shared" si="3"/>
        <v>-2001698.4</v>
      </c>
      <c r="H94" t="e" cm="1">
        <f t="array" aca="1" ref="H94" ca="1">dummy(F94, G94)</f>
        <v>#NAME?</v>
      </c>
    </row>
    <row r="95" spans="6:8" x14ac:dyDescent="0.25">
      <c r="F95">
        <v>-159055.20000000001</v>
      </c>
      <c r="G95">
        <f t="shared" si="3"/>
        <v>-2067717.6</v>
      </c>
      <c r="H95" t="e" cm="1">
        <f t="array" aca="1" ref="H95" ca="1">dummy(F95, G95)</f>
        <v>#NAME?</v>
      </c>
    </row>
    <row r="96" spans="6:8" x14ac:dyDescent="0.25">
      <c r="F96">
        <v>-164133.6</v>
      </c>
      <c r="G96">
        <f t="shared" si="3"/>
        <v>-2133736.8000000003</v>
      </c>
      <c r="H96" t="e" cm="1">
        <f t="array" aca="1" ref="H96" ca="1">dummy(F96, G96)</f>
        <v>#NAME?</v>
      </c>
    </row>
    <row r="97" spans="6:8" x14ac:dyDescent="0.25">
      <c r="F97">
        <v>-169212</v>
      </c>
      <c r="G97">
        <f t="shared" si="3"/>
        <v>-2199756</v>
      </c>
      <c r="H97" t="e" cm="1">
        <f t="array" aca="1" ref="H97" ca="1">dummy(F97, G97)</f>
        <v>#NAME?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2024-12-31T01:05:20Z</dcterms:modified>
</cp:coreProperties>
</file>